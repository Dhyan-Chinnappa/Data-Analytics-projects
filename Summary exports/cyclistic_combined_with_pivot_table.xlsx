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8692f411cecad/Desktop/Data Analytics Project folder/Cyclistic trip data/Summary exports/"/>
    </mc:Choice>
  </mc:AlternateContent>
  <xr:revisionPtr revIDLastSave="1" documentId="8_{C39DA7B1-6D1C-43E2-84A5-B5FBAA2F332B}" xr6:coauthVersionLast="47" xr6:coauthVersionMax="47" xr10:uidLastSave="{204AD382-F66D-46F5-8F88-3ED32F6AF88E}"/>
  <bookViews>
    <workbookView xWindow="-120" yWindow="-120" windowWidth="29040" windowHeight="15720" activeTab="1" xr2:uid="{37EA7B3A-F6F3-498A-9BAF-BF08A5B5955D}"/>
  </bookViews>
  <sheets>
    <sheet name="Sheet2" sheetId="3" r:id="rId1"/>
    <sheet name="Sheet1" sheetId="2" r:id="rId2"/>
    <sheet name="cyclistic_combined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3" i="1" l="1"/>
  <c r="S12" i="1"/>
  <c r="P12" i="1"/>
  <c r="P44" i="1"/>
  <c r="P76" i="1"/>
  <c r="P108" i="1"/>
  <c r="P140" i="1"/>
  <c r="P172" i="1"/>
  <c r="P192" i="1"/>
  <c r="P220" i="1"/>
  <c r="P248" i="1"/>
  <c r="P256" i="1"/>
  <c r="P284" i="1"/>
  <c r="P312" i="1"/>
  <c r="P320" i="1"/>
  <c r="P340" i="1"/>
  <c r="P356" i="1"/>
  <c r="P366" i="1"/>
  <c r="P372" i="1"/>
  <c r="P388" i="1"/>
  <c r="P404" i="1"/>
  <c r="P420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2" i="1"/>
  <c r="P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S10" i="1" l="1" a="1"/>
  <c r="S10" i="1" s="1"/>
  <c r="S9" i="1" a="1"/>
  <c r="S9" i="1" s="1"/>
  <c r="S2" i="1"/>
  <c r="S5" i="1"/>
  <c r="S6" i="1"/>
  <c r="S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<sst xmlns="http://schemas.openxmlformats.org/spreadsheetml/2006/main" count="6492" uniqueCount="567">
  <si>
    <t>ride_id</t>
  </si>
  <si>
    <t>rideable_type</t>
  </si>
  <si>
    <t>started_at</t>
  </si>
  <si>
    <t>ended_at</t>
  </si>
  <si>
    <t>start_station_name</t>
  </si>
  <si>
    <t>start_station_id</t>
  </si>
  <si>
    <t>end_station_name</t>
  </si>
  <si>
    <t>end_station_id</t>
  </si>
  <si>
    <t>start_lat</t>
  </si>
  <si>
    <t>start_lng</t>
  </si>
  <si>
    <t>end_lat</t>
  </si>
  <si>
    <t>end_lng</t>
  </si>
  <si>
    <t>member_casual</t>
  </si>
  <si>
    <t>058547FC0510C3B1</t>
  </si>
  <si>
    <t>classic_bike</t>
  </si>
  <si>
    <t>Millennium Park</t>
  </si>
  <si>
    <t>Dearborn St &amp; Erie St</t>
  </si>
  <si>
    <t>member</t>
  </si>
  <si>
    <t>044C0735043528FC</t>
  </si>
  <si>
    <t>Theater on the Lake</t>
  </si>
  <si>
    <t>TA1308000001</t>
  </si>
  <si>
    <t>State St &amp; 33rd St</t>
  </si>
  <si>
    <t>05D2AC6002940844</t>
  </si>
  <si>
    <t>Canal St &amp; Adams St</t>
  </si>
  <si>
    <t>Columbus Dr &amp; Randolph St</t>
  </si>
  <si>
    <t>052378FC009CD65F</t>
  </si>
  <si>
    <t>docked_bike</t>
  </si>
  <si>
    <t>Kingsbury St &amp; Kinzie St</t>
  </si>
  <si>
    <t>KA1503000043</t>
  </si>
  <si>
    <t>053C9FA0012E2B7D</t>
  </si>
  <si>
    <t>Broadway &amp; Barry Ave</t>
  </si>
  <si>
    <t>casual</t>
  </si>
  <si>
    <t>043290B9044F9816</t>
  </si>
  <si>
    <t>DuSable Harbor</t>
  </si>
  <si>
    <t>KA1503000064</t>
  </si>
  <si>
    <t>Streeter Dr &amp; Grand Ave</t>
  </si>
  <si>
    <t>0544209E01A85AA7</t>
  </si>
  <si>
    <t>electric_bike</t>
  </si>
  <si>
    <t>05D6A3BD0126FAD3</t>
  </si>
  <si>
    <t>054EA86504FEC503</t>
  </si>
  <si>
    <t>028139F60249C44D</t>
  </si>
  <si>
    <t>Clark St &amp; Elm St</t>
  </si>
  <si>
    <t>TA1307000024</t>
  </si>
  <si>
    <t>Wells St &amp; Elm St</t>
  </si>
  <si>
    <t>KA1504000135</t>
  </si>
  <si>
    <t>0557C7B304FE8BCF</t>
  </si>
  <si>
    <t>01D00A87040C96C2</t>
  </si>
  <si>
    <t>Clinton St &amp; Madison St</t>
  </si>
  <si>
    <t>TA1305000032</t>
  </si>
  <si>
    <t>04712B1C05F55E8E</t>
  </si>
  <si>
    <t>0454218805E18F81</t>
  </si>
  <si>
    <t>00BA176A0330D28C</t>
  </si>
  <si>
    <t>0124182501E55620</t>
  </si>
  <si>
    <t>01BDCA3003F06590</t>
  </si>
  <si>
    <t>0376E48E03E35322</t>
  </si>
  <si>
    <t>0454686F040598CD</t>
  </si>
  <si>
    <t>05F3171902003441</t>
  </si>
  <si>
    <t>Wells St &amp; Concord Ln</t>
  </si>
  <si>
    <t>TA1308000070</t>
  </si>
  <si>
    <t>0143473902293B75</t>
  </si>
  <si>
    <t>05D3E5D4009F2EB8</t>
  </si>
  <si>
    <t>044A542B0110B03B</t>
  </si>
  <si>
    <t>05E8CF2A016C0705</t>
  </si>
  <si>
    <t>0482D43303FA99DC</t>
  </si>
  <si>
    <t>032F3A3601EBB5BB</t>
  </si>
  <si>
    <t>01281B4200F1E810</t>
  </si>
  <si>
    <t>Michigan Ave &amp; Oak St</t>
  </si>
  <si>
    <t>00DBA51305F272DE</t>
  </si>
  <si>
    <t>01CE08A6013FFCE3</t>
  </si>
  <si>
    <t>0404C3C60130789D</t>
  </si>
  <si>
    <t>013E9D5601F76C64</t>
  </si>
  <si>
    <t>017924F401670E6A</t>
  </si>
  <si>
    <t>0548AD8D043B11C0</t>
  </si>
  <si>
    <t>056DA7C7012EBF52</t>
  </si>
  <si>
    <t>05B04ECE0234861F</t>
  </si>
  <si>
    <t>05BA561A02EF73FC</t>
  </si>
  <si>
    <t>05028BF900F7C8CB</t>
  </si>
  <si>
    <t>021EBD0A011BA833</t>
  </si>
  <si>
    <t>03EEB4F5041F1A08</t>
  </si>
  <si>
    <t>03B9A8BA02FAD8E2</t>
  </si>
  <si>
    <t>02D3629B058CEF06</t>
  </si>
  <si>
    <t>0163FB07020961B5</t>
  </si>
  <si>
    <t>0317CFC702B2EB7A</t>
  </si>
  <si>
    <t>03D2FCC705DF01B5</t>
  </si>
  <si>
    <t>05E4863304B39A23</t>
  </si>
  <si>
    <t>01A45B4F0413D492</t>
  </si>
  <si>
    <t>00AC36AC05C7ACF9</t>
  </si>
  <si>
    <t>05F516B50377608F</t>
  </si>
  <si>
    <t>0274E96700D2CD68</t>
  </si>
  <si>
    <t>0390C2A601316D05</t>
  </si>
  <si>
    <t>0383851603C9C082</t>
  </si>
  <si>
    <t>026AB70004A3C074</t>
  </si>
  <si>
    <t>024D3EF905CCB7D3</t>
  </si>
  <si>
    <t>03D35724030F7E4E</t>
  </si>
  <si>
    <t>055EA3B905381A1A</t>
  </si>
  <si>
    <t>039BF7F002194174</t>
  </si>
  <si>
    <t>05AF244105B08EC9</t>
  </si>
  <si>
    <t>01820D5D0401D3F4</t>
  </si>
  <si>
    <t>04AF73CF034A0B3B</t>
  </si>
  <si>
    <t>05EC3622045D052D</t>
  </si>
  <si>
    <t>00CBA001052DE3B9</t>
  </si>
  <si>
    <t>043ADB5E00E98507</t>
  </si>
  <si>
    <t>05E4D9870166462E</t>
  </si>
  <si>
    <t>0176F6120373A788</t>
  </si>
  <si>
    <t>0246D5C705DDB2FB</t>
  </si>
  <si>
    <t>05014E26055AA66E</t>
  </si>
  <si>
    <t>057E519404AA4E34</t>
  </si>
  <si>
    <t>0170820C034A9C98</t>
  </si>
  <si>
    <t>042CAC4F0426A9A1</t>
  </si>
  <si>
    <t>030C7A1604101D3C</t>
  </si>
  <si>
    <t>04A88A9D02AC3554</t>
  </si>
  <si>
    <t>05504446032908C9</t>
  </si>
  <si>
    <t>02E8F6C803284FB3</t>
  </si>
  <si>
    <t>045946A7022FCEBA</t>
  </si>
  <si>
    <t>020A89DA05EC6CC3</t>
  </si>
  <si>
    <t>05D3C23105E30025</t>
  </si>
  <si>
    <t>03B02E7C0589C0D5</t>
  </si>
  <si>
    <t>02FC19D903FEA996</t>
  </si>
  <si>
    <t>00B7FA9C017B1102</t>
  </si>
  <si>
    <t>0560E50801528A20</t>
  </si>
  <si>
    <t>051CFCBC03373DFA</t>
  </si>
  <si>
    <t>0353474604AD3320</t>
  </si>
  <si>
    <t>051D5CD403593355</t>
  </si>
  <si>
    <t>02CA9A3200A4CFE5</t>
  </si>
  <si>
    <t>02D805CF0231348D</t>
  </si>
  <si>
    <t>039E5BB5027706E1</t>
  </si>
  <si>
    <t>058247E0011BB523</t>
  </si>
  <si>
    <t>00A158390575BDD9</t>
  </si>
  <si>
    <t>0138F27C02BF8D75</t>
  </si>
  <si>
    <t>0563FB88054C1D8E</t>
  </si>
  <si>
    <t>016730CC015F7D6D</t>
  </si>
  <si>
    <t>05305CFD00D08FB8</t>
  </si>
  <si>
    <t>0101235B015FA641</t>
  </si>
  <si>
    <t>01FBCB310182B144</t>
  </si>
  <si>
    <t>04B79A9000FBA0FE</t>
  </si>
  <si>
    <t>0514841D054CF499</t>
  </si>
  <si>
    <t>059817950470FE39</t>
  </si>
  <si>
    <t>02926DCE01787321</t>
  </si>
  <si>
    <t>01F697AE052696B7</t>
  </si>
  <si>
    <t>01C6BA7F03E29651</t>
  </si>
  <si>
    <t>00DEA30305C381D1</t>
  </si>
  <si>
    <t>01AA63CE01A2F95B</t>
  </si>
  <si>
    <t>04C1F8FC031C77B9</t>
  </si>
  <si>
    <t>027BA4B40274C124</t>
  </si>
  <si>
    <t>037C71DC04037F76</t>
  </si>
  <si>
    <t>012B5A5B02C68D87</t>
  </si>
  <si>
    <t>03B990400212EED6</t>
  </si>
  <si>
    <t>030CDFDE03EDC831</t>
  </si>
  <si>
    <t>04AC8C8602515D5A</t>
  </si>
  <si>
    <t>0251909C0272684E</t>
  </si>
  <si>
    <t>01E34023019004F1</t>
  </si>
  <si>
    <t>057C98960295FD34</t>
  </si>
  <si>
    <t>050B1BA7019C4F25</t>
  </si>
  <si>
    <t>0358A4AA01B1E630</t>
  </si>
  <si>
    <t>01BA020E0151CE17</t>
  </si>
  <si>
    <t>0153471C04353F7A</t>
  </si>
  <si>
    <t>033A4738055222C4</t>
  </si>
  <si>
    <t>00E4E5D504DCB1BA</t>
  </si>
  <si>
    <t>02A1836E00AE43EE</t>
  </si>
  <si>
    <t>02553C04050E550C</t>
  </si>
  <si>
    <t>02866AB704B80C4E</t>
  </si>
  <si>
    <t>00E830AD0242AA02</t>
  </si>
  <si>
    <t>019961E202BE4B6A</t>
  </si>
  <si>
    <t>017032DE03A6FF61</t>
  </si>
  <si>
    <t>03F5DC2201E1F815</t>
  </si>
  <si>
    <t>04C89EEF020155AC</t>
  </si>
  <si>
    <t>017E1B3405A1D8A0</t>
  </si>
  <si>
    <t>03876EDC02FB02AB</t>
  </si>
  <si>
    <t>0380280D027D1309</t>
  </si>
  <si>
    <t>0342FC9F00C8AE8A</t>
  </si>
  <si>
    <t>0260B45A036F1A60</t>
  </si>
  <si>
    <t>0184043B02DB0839</t>
  </si>
  <si>
    <t>02770B35036592BF</t>
  </si>
  <si>
    <t>024E57D90319BFAD</t>
  </si>
  <si>
    <t>01155658030DF2C4</t>
  </si>
  <si>
    <t>042530EB01A16283</t>
  </si>
  <si>
    <t>05F45988016C0195</t>
  </si>
  <si>
    <t>059998E60211EB90</t>
  </si>
  <si>
    <t>01FAD25502325A18</t>
  </si>
  <si>
    <t>03461A6500F4666C</t>
  </si>
  <si>
    <t>04EA520E01FFF9B2</t>
  </si>
  <si>
    <t>044325FF01442FAD</t>
  </si>
  <si>
    <t>04EA5DE60110335D</t>
  </si>
  <si>
    <t>05DCAA9B05F15BCC</t>
  </si>
  <si>
    <t>031973BB01869ECB</t>
  </si>
  <si>
    <t>010F26300348F32B</t>
  </si>
  <si>
    <t>04DD2CAD056368AB</t>
  </si>
  <si>
    <t>049C1E76055C81AC</t>
  </si>
  <si>
    <t>0237815703FFB920</t>
  </si>
  <si>
    <t>0149DFC3017E21CB</t>
  </si>
  <si>
    <t>052AE94F023DFB8C</t>
  </si>
  <si>
    <t>01FD725401BCE2D5</t>
  </si>
  <si>
    <t>0255962F01C4723B</t>
  </si>
  <si>
    <t>00ED1B3C05BACDBD</t>
  </si>
  <si>
    <t>032234790341F1A5</t>
  </si>
  <si>
    <t>05CD498C03D72AA1</t>
  </si>
  <si>
    <t>01564DAC02EBD61A</t>
  </si>
  <si>
    <t>0393A34E044AF9B6</t>
  </si>
  <si>
    <t>02F14DD804D202E6</t>
  </si>
  <si>
    <t>054CADBD02C3F408</t>
  </si>
  <si>
    <t>040B4D0C01935B27</t>
  </si>
  <si>
    <t>010A057C01AFDA17</t>
  </si>
  <si>
    <t>02A65BC9039A837A</t>
  </si>
  <si>
    <t>04273EE4011F1BFB</t>
  </si>
  <si>
    <t>031213550102D3F0</t>
  </si>
  <si>
    <t>044B7DC70103BBA6</t>
  </si>
  <si>
    <t>041269C3017FBC72</t>
  </si>
  <si>
    <t>046ECCE1030BAC62</t>
  </si>
  <si>
    <t>0580ED3F045FD18A</t>
  </si>
  <si>
    <t>01342E1E015EC64D</t>
  </si>
  <si>
    <t>00B8F28701A08A9C</t>
  </si>
  <si>
    <t>02023242041DBC59</t>
  </si>
  <si>
    <t>024A1FE20373299F</t>
  </si>
  <si>
    <t>053AE383055B08FD</t>
  </si>
  <si>
    <t>04CCFCDE0534979F</t>
  </si>
  <si>
    <t>012027AF024AAA2D</t>
  </si>
  <si>
    <t>04E68A7803E5CF3B</t>
  </si>
  <si>
    <t>0190C14A02EDCC07</t>
  </si>
  <si>
    <t>01AD3BCE04DFA89D</t>
  </si>
  <si>
    <t>05A49AA60200EB39</t>
  </si>
  <si>
    <t>0454454C027CE220</t>
  </si>
  <si>
    <t>0343FDE503AC236A</t>
  </si>
  <si>
    <t>02AEAE8B00F14C8F</t>
  </si>
  <si>
    <t>0317C0E004B7704B</t>
  </si>
  <si>
    <t>02B3BD9005C8A657</t>
  </si>
  <si>
    <t>013B8C40048981F0</t>
  </si>
  <si>
    <t>0139DCE804BC4A37</t>
  </si>
  <si>
    <t>00B461370491B53A</t>
  </si>
  <si>
    <t>02AB591203782A41</t>
  </si>
  <si>
    <t>02D2D4D204DDD9A2</t>
  </si>
  <si>
    <t>01D743A804034AFA</t>
  </si>
  <si>
    <t>03F88DF6055CC62D</t>
  </si>
  <si>
    <t>04586F2E01842A69</t>
  </si>
  <si>
    <t>03EA4838056BBEDC</t>
  </si>
  <si>
    <t>04BCB03D04F71E7C</t>
  </si>
  <si>
    <t>01A8092001A5D114</t>
  </si>
  <si>
    <t>03D41488050D4B08</t>
  </si>
  <si>
    <t>0421C72403AF7A66</t>
  </si>
  <si>
    <t>047F015B04D829E4</t>
  </si>
  <si>
    <t>01D483B801BC324F</t>
  </si>
  <si>
    <t>042E449B03549526</t>
  </si>
  <si>
    <t>047FD49A05398CE7</t>
  </si>
  <si>
    <t>03E9FA50012198AD</t>
  </si>
  <si>
    <t>040AA17B00FA4E23</t>
  </si>
  <si>
    <t>03C1BE370524D9EC</t>
  </si>
  <si>
    <t>058458D400C27864</t>
  </si>
  <si>
    <t>00CC7D67014106D4</t>
  </si>
  <si>
    <t>013E6B6C01F5DA70</t>
  </si>
  <si>
    <t>01FE62E203E33D12</t>
  </si>
  <si>
    <t>0127C88304D8815B</t>
  </si>
  <si>
    <t>04B667BD0174A524</t>
  </si>
  <si>
    <t>04B4F9930558A16B</t>
  </si>
  <si>
    <t>0199607B011CDF81</t>
  </si>
  <si>
    <t>029D83E604456D75</t>
  </si>
  <si>
    <t>05699AEC02FA193B</t>
  </si>
  <si>
    <t>02D2E3D701FE183A</t>
  </si>
  <si>
    <t>020F728502805B6B</t>
  </si>
  <si>
    <t>0254B26F018604B3</t>
  </si>
  <si>
    <t>05328BFB00D3E620</t>
  </si>
  <si>
    <t>05B28F8F03D1EE21</t>
  </si>
  <si>
    <t>018FD1BE02C467E8</t>
  </si>
  <si>
    <t>016C302703E6C82C</t>
  </si>
  <si>
    <t>0316C17D052A4097</t>
  </si>
  <si>
    <t>02FCA64A01B3FEFA</t>
  </si>
  <si>
    <t>022B19CD00E10493</t>
  </si>
  <si>
    <t>02A96197023B77CF</t>
  </si>
  <si>
    <t>031A58DE038F993B</t>
  </si>
  <si>
    <t>05179BEA0329691B</t>
  </si>
  <si>
    <t>041E76D100FFF6D6</t>
  </si>
  <si>
    <t>014C1E9C026D6AEF</t>
  </si>
  <si>
    <t>030C30BE042E6095</t>
  </si>
  <si>
    <t>00B87B6402E86784</t>
  </si>
  <si>
    <t>026B73540380D534</t>
  </si>
  <si>
    <t>028D94D4059C8511</t>
  </si>
  <si>
    <t>047CC30204BDA464</t>
  </si>
  <si>
    <t>045342D4029DBCB6</t>
  </si>
  <si>
    <t>0296E9AC0218222B</t>
  </si>
  <si>
    <t>02D2418901F88DA5</t>
  </si>
  <si>
    <t>00EEDD5D0443D064</t>
  </si>
  <si>
    <t>025A83E60456E4DA</t>
  </si>
  <si>
    <t>04D41A5B02D2A379</t>
  </si>
  <si>
    <t>029E850602A2EAC7</t>
  </si>
  <si>
    <t>02289DFD03C495E3</t>
  </si>
  <si>
    <t>02E1F46302F87CB3</t>
  </si>
  <si>
    <t>03AB5E1A037B894A</t>
  </si>
  <si>
    <t>036B0E73052B2F46</t>
  </si>
  <si>
    <t>01958F34041C8BE3</t>
  </si>
  <si>
    <t>022B6FE001F83488</t>
  </si>
  <si>
    <t>03A782F70521E06A</t>
  </si>
  <si>
    <t>03E7076500BE6E11</t>
  </si>
  <si>
    <t>0504553F05CABE92</t>
  </si>
  <si>
    <t>03F762D70122CB4B</t>
  </si>
  <si>
    <t>0321B86A00F71AB0</t>
  </si>
  <si>
    <t>02AC9E67016B8014</t>
  </si>
  <si>
    <t>05060D750137F525</t>
  </si>
  <si>
    <t>0224D29A056528B1</t>
  </si>
  <si>
    <t>01DC6CFA02E6C214</t>
  </si>
  <si>
    <t>0295E8A705E3FCE4</t>
  </si>
  <si>
    <t>0445C60D04D728C1</t>
  </si>
  <si>
    <t>00AEF9F8048653DC</t>
  </si>
  <si>
    <t>0247E64A034243A7</t>
  </si>
  <si>
    <t>03CF474503751B83</t>
  </si>
  <si>
    <t>01673C8202139E99</t>
  </si>
  <si>
    <t>048C869803DA4484</t>
  </si>
  <si>
    <t>01A7701F033C4038</t>
  </si>
  <si>
    <t>00ACB17503FA6161</t>
  </si>
  <si>
    <t>0323447704FDC94E</t>
  </si>
  <si>
    <t>00B244D801E86E8B</t>
  </si>
  <si>
    <t>056D7B9300F945E4</t>
  </si>
  <si>
    <t>0377F7B501D0D170</t>
  </si>
  <si>
    <t>034E022702A44C52</t>
  </si>
  <si>
    <t>026EE5B90161067F</t>
  </si>
  <si>
    <t>035C42690121D356</t>
  </si>
  <si>
    <t>0169F74203063868</t>
  </si>
  <si>
    <t>0546AE77029AAC45</t>
  </si>
  <si>
    <t>045B136C0157F377</t>
  </si>
  <si>
    <t>03480A3F021DD018</t>
  </si>
  <si>
    <t>00FE61E3037B0206</t>
  </si>
  <si>
    <t>0565B98305D695DC</t>
  </si>
  <si>
    <t>033F1A17055F6430</t>
  </si>
  <si>
    <t>05793DCC0325545C</t>
  </si>
  <si>
    <t>0329441705DCCE64</t>
  </si>
  <si>
    <t>033C410E01D839BB</t>
  </si>
  <si>
    <t>030363C604BE4C19</t>
  </si>
  <si>
    <t>05A1B60901D4B9F5</t>
  </si>
  <si>
    <t>03614C4301A4E700</t>
  </si>
  <si>
    <t>034DAC58046EDD3C</t>
  </si>
  <si>
    <t>020BC26900E5BB99</t>
  </si>
  <si>
    <t>0456886A049AC7D8</t>
  </si>
  <si>
    <t>0551F8C9017175EC</t>
  </si>
  <si>
    <t>0427C1FA0141EF0C</t>
  </si>
  <si>
    <t>03BCD1DE0525A611</t>
  </si>
  <si>
    <t>039220BA0415E8C6</t>
  </si>
  <si>
    <t>01A88F8D02C715DE</t>
  </si>
  <si>
    <t>0505E45D0338906E</t>
  </si>
  <si>
    <t>0257323B05805C52</t>
  </si>
  <si>
    <t>045986A405AD458B</t>
  </si>
  <si>
    <t>01F9D9B902F5F474</t>
  </si>
  <si>
    <t>052C613403731F71</t>
  </si>
  <si>
    <t>050E76EE050DEA75</t>
  </si>
  <si>
    <t>02B4C14C01FF59FA</t>
  </si>
  <si>
    <t>0183E4F0020A02D0</t>
  </si>
  <si>
    <t>023FD21D00FA9C17</t>
  </si>
  <si>
    <t>00D20981059D514B</t>
  </si>
  <si>
    <t>042CAFC7057B21AF</t>
  </si>
  <si>
    <t>01FBC612041121BB</t>
  </si>
  <si>
    <t>02F3A382054B3856</t>
  </si>
  <si>
    <t>0479CF98053FA9C5</t>
  </si>
  <si>
    <t>059F554D024B78CC</t>
  </si>
  <si>
    <t>012D21200318EE1F</t>
  </si>
  <si>
    <t>051359CF0524281B</t>
  </si>
  <si>
    <t>042D39F4053D9372</t>
  </si>
  <si>
    <t>043E7BAE047B3856</t>
  </si>
  <si>
    <t>02719BE205C463AE</t>
  </si>
  <si>
    <t>03985C3504DD6AC0</t>
  </si>
  <si>
    <t>0380B409029FB6C2</t>
  </si>
  <si>
    <t>053C0B8C033A97B3</t>
  </si>
  <si>
    <t>02A7CD41026CA6B6</t>
  </si>
  <si>
    <t>0580BC0F0536AA44</t>
  </si>
  <si>
    <t>03CD588E02B03DE8</t>
  </si>
  <si>
    <t>04BC2CB602E6215C</t>
  </si>
  <si>
    <t>030CA37F00A70AC8</t>
  </si>
  <si>
    <t>03B087E30389A51A</t>
  </si>
  <si>
    <t>03072A5D05C52C85</t>
  </si>
  <si>
    <t>037D62D30237C44A</t>
  </si>
  <si>
    <t>00C0807C01DA650D</t>
  </si>
  <si>
    <t>01DF6DF90445836C</t>
  </si>
  <si>
    <t>03B4C04403174F3F</t>
  </si>
  <si>
    <t>00A320DA02D64BA0</t>
  </si>
  <si>
    <t>046605240460F6B0</t>
  </si>
  <si>
    <t>05A15DAE03E7BE18</t>
  </si>
  <si>
    <t>037877B70224A1E8</t>
  </si>
  <si>
    <t>0582AF7D03332145</t>
  </si>
  <si>
    <t>01340706024B1208</t>
  </si>
  <si>
    <t>03A7FB9B054655DF</t>
  </si>
  <si>
    <t>0426921F029CD92F</t>
  </si>
  <si>
    <t>022F03E1035D1B90</t>
  </si>
  <si>
    <t>054B8F8800FDC34C</t>
  </si>
  <si>
    <t>045B1814011FDD39</t>
  </si>
  <si>
    <t>03BDE283049AD7A1</t>
  </si>
  <si>
    <t>05148993042F9F87</t>
  </si>
  <si>
    <t>02BF256A04FC86AA</t>
  </si>
  <si>
    <t>01D8FBD200FF6B82</t>
  </si>
  <si>
    <t>0212C212053E0964</t>
  </si>
  <si>
    <t>05514F160334EC1E</t>
  </si>
  <si>
    <t>033429AE04BA8B14</t>
  </si>
  <si>
    <t>039CADD403CCD48A</t>
  </si>
  <si>
    <t>04F6CF5F03942C3D</t>
  </si>
  <si>
    <t>05D647B8016BC176</t>
  </si>
  <si>
    <t>0214BAF80355960D</t>
  </si>
  <si>
    <t>03FEFC0404A52133</t>
  </si>
  <si>
    <t>0212358403133EEC</t>
  </si>
  <si>
    <t>0443079404ABC097</t>
  </si>
  <si>
    <t>0425A8B20265C2F5</t>
  </si>
  <si>
    <t>05B26E6B04A7745F</t>
  </si>
  <si>
    <t>0218C2A703CDAEA7</t>
  </si>
  <si>
    <t>040EC7C705E09C3A</t>
  </si>
  <si>
    <t>010850A9032EB1BB</t>
  </si>
  <si>
    <t>01EC620600FBF5B8</t>
  </si>
  <si>
    <t>04BD5A250303CDBC</t>
  </si>
  <si>
    <t>03B43442059FE5EB</t>
  </si>
  <si>
    <t>05B1E16F03998CA6</t>
  </si>
  <si>
    <t>023DD87C03905FCB</t>
  </si>
  <si>
    <t>04E884BB00A9EBDC</t>
  </si>
  <si>
    <t>03AD43D9053D9F6B</t>
  </si>
  <si>
    <t>0451C93104735D73</t>
  </si>
  <si>
    <t>018C64BA05F41E50</t>
  </si>
  <si>
    <t>03CD7C410391FABE</t>
  </si>
  <si>
    <t>040097D00487E223</t>
  </si>
  <si>
    <t>0468DD1604752241</t>
  </si>
  <si>
    <t>054FAF2900F8B5E4</t>
  </si>
  <si>
    <t>0178E8B205F4722A</t>
  </si>
  <si>
    <t>05C3A678036766D2</t>
  </si>
  <si>
    <t>01B6591F04B5BE31</t>
  </si>
  <si>
    <t>019BE92A01E264B5</t>
  </si>
  <si>
    <t>0122654A010CBAA8</t>
  </si>
  <si>
    <t>0505EEF102D1B346</t>
  </si>
  <si>
    <t>029E680D05250056</t>
  </si>
  <si>
    <t>05847E4D04602985</t>
  </si>
  <si>
    <t>02CB078E04037F73</t>
  </si>
  <si>
    <t>05919D03037FFCE5</t>
  </si>
  <si>
    <t>025E9AE5036B9C79</t>
  </si>
  <si>
    <t>0503418F00DDC050</t>
  </si>
  <si>
    <t>05748404053BB0A9</t>
  </si>
  <si>
    <t>03A6AF04036EF24B</t>
  </si>
  <si>
    <t>05DAA03205571A37</t>
  </si>
  <si>
    <t>045A6B7E056D753D</t>
  </si>
  <si>
    <t>023342EC05EA2D3E</t>
  </si>
  <si>
    <t>05C4D98102AD7FF5</t>
  </si>
  <si>
    <t>05B46F44030E75FA</t>
  </si>
  <si>
    <t>038D04C60440327A</t>
  </si>
  <si>
    <t>02D047DE02ED050E</t>
  </si>
  <si>
    <t>02F79963032B9C89</t>
  </si>
  <si>
    <t>05966D8D013A5A49</t>
  </si>
  <si>
    <t>02CFDB7A053F5A3C</t>
  </si>
  <si>
    <t>0361426E02F44C5E</t>
  </si>
  <si>
    <t>04E19DA401E67EBC</t>
  </si>
  <si>
    <t>05E7F86D044FF2C8</t>
  </si>
  <si>
    <t>01B4260204D575A4</t>
  </si>
  <si>
    <t>042038DB03EA43F9</t>
  </si>
  <si>
    <t>030E0C1002F332DF</t>
  </si>
  <si>
    <t>00B08A380229CBEB</t>
  </si>
  <si>
    <t>04DA4F0E02222894</t>
  </si>
  <si>
    <t>0581DAAA02B7F4AB</t>
  </si>
  <si>
    <t>012B7491036E1F14</t>
  </si>
  <si>
    <t>05DACCA3052F5B9C</t>
  </si>
  <si>
    <t>0126FD5702F540E1</t>
  </si>
  <si>
    <t>058BD67102E2870E</t>
  </si>
  <si>
    <t>02FCF08B05015F92</t>
  </si>
  <si>
    <t>01C4539903BDAE90</t>
  </si>
  <si>
    <t>0484CF1905CB7921</t>
  </si>
  <si>
    <t>01BCD43C01928974</t>
  </si>
  <si>
    <t>05A6C2E002F2BEC9</t>
  </si>
  <si>
    <t>056B28B602CF2FF2</t>
  </si>
  <si>
    <t>05D399EC025B7A5F</t>
  </si>
  <si>
    <t>044A60CA0233260F</t>
  </si>
  <si>
    <t>049B42EB05570AA6</t>
  </si>
  <si>
    <t>055196140487C519</t>
  </si>
  <si>
    <t>05E4942902FF16D6</t>
  </si>
  <si>
    <t>05E016F602959521</t>
  </si>
  <si>
    <t>0209C03000BFCEEC</t>
  </si>
  <si>
    <t>035191C4024B4625</t>
  </si>
  <si>
    <t>01B43D0903F08127</t>
  </si>
  <si>
    <t>030639AD0260D673</t>
  </si>
  <si>
    <t>03DA68E003E2A957</t>
  </si>
  <si>
    <t>023FA79005330E6B</t>
  </si>
  <si>
    <t>027E93FF03BFD07A</t>
  </si>
  <si>
    <t>02B85F1301F392EB</t>
  </si>
  <si>
    <t>0322187200B78D9D</t>
  </si>
  <si>
    <t>043B5B460271D034</t>
  </si>
  <si>
    <t>02F30F6704FA815B</t>
  </si>
  <si>
    <t>0173E53004E09E82</t>
  </si>
  <si>
    <t>009C06EF037BD8E6</t>
  </si>
  <si>
    <t>0392174A056E66FA</t>
  </si>
  <si>
    <t>00A503D605E98AD7</t>
  </si>
  <si>
    <t>0108827503B035AB</t>
  </si>
  <si>
    <t>05BFEF7A03707553</t>
  </si>
  <si>
    <t>020D2782035665F7</t>
  </si>
  <si>
    <t>0211D67805CDF828</t>
  </si>
  <si>
    <t>0168322C0104B5D0</t>
  </si>
  <si>
    <t>045FDBE1030AD1F7</t>
  </si>
  <si>
    <t>029002F501ED393E</t>
  </si>
  <si>
    <t>049AE2FD057D6E18</t>
  </si>
  <si>
    <t>058DC60B042FF4AF</t>
  </si>
  <si>
    <t>01497AD504B1F01E</t>
  </si>
  <si>
    <t>02822F4705F11F57</t>
  </si>
  <si>
    <t>056D621401782059</t>
  </si>
  <si>
    <t>01411D6E03D8C01B</t>
  </si>
  <si>
    <t>02D4869E0545D66B</t>
  </si>
  <si>
    <t>02F900BD0327F6D9</t>
  </si>
  <si>
    <t>02AB299D01CC054A</t>
  </si>
  <si>
    <t>0535C9FA05437A6C</t>
  </si>
  <si>
    <t>03BEB40E0578C692</t>
  </si>
  <si>
    <t>00F0E11903F2BF1B</t>
  </si>
  <si>
    <t>00DD9C8F055EC7D1</t>
  </si>
  <si>
    <t>0273D6E201DA9F18</t>
  </si>
  <si>
    <t>04257D2204F0DD33</t>
  </si>
  <si>
    <t>01C7E5D20561AA05</t>
  </si>
  <si>
    <t>0288FD1E0580B39C</t>
  </si>
  <si>
    <t>05848A45027D5C6D</t>
  </si>
  <si>
    <t>038358BE03F2833D</t>
  </si>
  <si>
    <t>03DBBD54016FA5D4</t>
  </si>
  <si>
    <t>0354E19601EE1961</t>
  </si>
  <si>
    <t>02EED46800DA9E0C</t>
  </si>
  <si>
    <t>039A65B501EA8A37</t>
  </si>
  <si>
    <t>04C813C504AECFF2</t>
  </si>
  <si>
    <t>02DB7BCD00A9D3AF</t>
  </si>
  <si>
    <t>04FF7847033AF9FE</t>
  </si>
  <si>
    <t>0338FBD30517559D</t>
  </si>
  <si>
    <t>00BE0FEE011377B8</t>
  </si>
  <si>
    <t>037C1EC80533BE65</t>
  </si>
  <si>
    <t>0288D977014170FE</t>
  </si>
  <si>
    <t>04AC491A05958F85</t>
  </si>
  <si>
    <t>022E3ACA0364A1C1</t>
  </si>
  <si>
    <t>02EAEE0C04CA03D6</t>
  </si>
  <si>
    <t>017ED967018C584E</t>
  </si>
  <si>
    <t>0420602203809F6A</t>
  </si>
  <si>
    <t>056DC38801B8E9A1</t>
  </si>
  <si>
    <t>05393F1A02D6A525</t>
  </si>
  <si>
    <t>0581AD1000C17FF6</t>
  </si>
  <si>
    <t>036AD0E902B42F04</t>
  </si>
  <si>
    <t>01EB0102035B6580</t>
  </si>
  <si>
    <t>0486FA3202F59503</t>
  </si>
  <si>
    <t>03D74C6B03EE9741</t>
  </si>
  <si>
    <t>028593FC01D6B83B</t>
  </si>
  <si>
    <t>03F3709B05123C90</t>
  </si>
  <si>
    <t>048445DF01E75404</t>
  </si>
  <si>
    <t>037C93EE0124BB98</t>
  </si>
  <si>
    <t>02FCAB6301337D37</t>
  </si>
  <si>
    <t>018851E000DCA574</t>
  </si>
  <si>
    <t>057060F904A324AD</t>
  </si>
  <si>
    <t>01FB70F205B908F5</t>
  </si>
  <si>
    <t>030A0C3104F29905</t>
  </si>
  <si>
    <t>03B0B85A05657821</t>
  </si>
  <si>
    <t>055D2EF5009E9662</t>
  </si>
  <si>
    <t>0175FB0302407DA3</t>
  </si>
  <si>
    <t>05078AB403FAB22B</t>
  </si>
  <si>
    <t>05104E0C05136438</t>
  </si>
  <si>
    <t>ride_length</t>
  </si>
  <si>
    <t>day_of_week</t>
  </si>
  <si>
    <t>day_name</t>
  </si>
  <si>
    <t>Mean_ride_length_member</t>
  </si>
  <si>
    <t>Mean_ride_length_casual</t>
  </si>
  <si>
    <t>Max_ride_length_member</t>
  </si>
  <si>
    <t>Max_ride_length_casual</t>
  </si>
  <si>
    <t>Median_ride_length_member</t>
  </si>
  <si>
    <t>Median_ride_length_casual</t>
  </si>
  <si>
    <t>ride_count_member</t>
  </si>
  <si>
    <t>ride_count_casual</t>
  </si>
  <si>
    <t>Row Labels</t>
  </si>
  <si>
    <t>Grand Total</t>
  </si>
  <si>
    <t>Average of ride_length</t>
  </si>
  <si>
    <t>Column Labels</t>
  </si>
  <si>
    <t>Total Average of ride_length</t>
  </si>
  <si>
    <t>Sun</t>
  </si>
  <si>
    <t>Mon</t>
  </si>
  <si>
    <t>Tue</t>
  </si>
  <si>
    <t>Wed</t>
  </si>
  <si>
    <t>Thu</t>
  </si>
  <si>
    <t>Fri</t>
  </si>
  <si>
    <t>Sat</t>
  </si>
  <si>
    <t>Total Count of rideable_type</t>
  </si>
  <si>
    <t>Count of rideable_type</t>
  </si>
  <si>
    <t>Average Ride Length &amp; Ride Count by day of week</t>
  </si>
  <si>
    <t>Average Ride Length</t>
  </si>
  <si>
    <t>Rides By  Bike Type</t>
  </si>
  <si>
    <t>Count of ride_id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</si>
</sst>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22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0" fontId="16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16" fillId="0" borderId="0" xfId="0" applyFont="1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26" formatCode="hh:mm:ss"/>
    </dxf>
    <dxf>
      <numFmt numFmtId="27" formatCode="dd/mm/yyyy\ hh:mm"/>
    </dxf>
    <dxf>
      <numFmt numFmtId="27" formatCode="dd/mm/yyyy\ hh:mm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[$-F400]h:mm:ss\ AM/PM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7" formatCode="dd/mm/yyyy\ hh:mm"/>
      <alignment horizontal="right" vertical="bottom" textRotation="0" wrapText="0" indent="0" justifyLastLine="0" shrinkToFit="0" readingOrder="0"/>
    </dxf>
    <dxf>
      <numFmt numFmtId="27" formatCode="dd/mm/yyyy\ hh:mm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[cyclistic_combined_with_pivot_table.xlsx]Sheet1!PivotTable1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Sheet1!$B$4:$B$6</c:f>
              <c:numCache>
                <c:formatCode>[$-F400]h:mm:ss\ AM/PM</c:formatCode>
                <c:ptCount val="2"/>
                <c:pt idx="0">
                  <c:v>2.0000190781440792E-2</c:v>
                </c:pt>
                <c:pt idx="1">
                  <c:v>1.055752096436058E-2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0-4223-8140-06F693E2E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277408"/>
        <c:axId val="2120813744"/>
      </c:barChart>
      <c:catAx>
        <c:axId val="199227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813744"/>
        <c:crosses val="autoZero"/>
        <c:auto val="1"/>
        <c:lblAlgn val="ctr"/>
        <c:lblOffset val="100"/>
        <c:noMultiLvlLbl val="0"/>
      </c:catAx>
      <c:valAx>
        <c:axId val="212081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27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[cyclistic_combined_with_pivot_table.xlsx]Sheet1!PivotTable3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Sheet1!$B$10:$B$12</c:f>
              <c:strCache>
                <c:ptCount val="1"/>
                <c:pt idx="0">
                  <c:v>Sun - Average of ride_length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Sheet1!$B$13:$B$15</c:f>
              <c:numCache>
                <c:formatCode>[$-F400]h:mm:ss\ AM/PM</c:formatCode>
                <c:ptCount val="2"/>
                <c:pt idx="0">
                  <c:v>2.2982253086419751E-2</c:v>
                </c:pt>
                <c:pt idx="1">
                  <c:v>1.0956101190476191E-2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E-43FE-AF6B-4FE2DF734A21}"/>
            </c:ext>
          </c:extLst>
        </c:ser>
        <c:ser>
          <c:idx val="1"/>
          <c:order val="1"/>
          <c:tx>
            <c:strRef>
              <c:f>Sheet1!$C$10:$C$12</c:f>
              <c:strCache>
                <c:ptCount val="1"/>
                <c:pt idx="0">
                  <c:v>Sun - Count of rideable_type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Sheet1!$C$13:$C$15</c:f>
              <c:numCache>
                <c:formatCode>General</c:formatCode>
                <c:ptCount val="2"/>
                <c:pt idx="0">
                  <c:v>18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E-43FE-AF6B-4FE2DF734A21}"/>
            </c:ext>
          </c:extLst>
        </c:ser>
        <c:ser>
          <c:idx val="2"/>
          <c:order val="2"/>
          <c:tx>
            <c:strRef>
              <c:f>Sheet1!$D$10:$D$12</c:f>
              <c:strCache>
                <c:ptCount val="1"/>
                <c:pt idx="0">
                  <c:v>Mon - Average of ride_length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Sheet1!$D$13:$D$15</c:f>
              <c:numCache>
                <c:formatCode>[$-F400]h:mm:ss\ AM/PM</c:formatCode>
                <c:ptCount val="2"/>
                <c:pt idx="0">
                  <c:v>2.177824074074074E-2</c:v>
                </c:pt>
                <c:pt idx="1">
                  <c:v>9.4215856481481494E-3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E-43FE-AF6B-4FE2DF734A21}"/>
            </c:ext>
          </c:extLst>
        </c:ser>
        <c:ser>
          <c:idx val="3"/>
          <c:order val="3"/>
          <c:tx>
            <c:strRef>
              <c:f>Sheet1!$E$10:$E$12</c:f>
              <c:strCache>
                <c:ptCount val="1"/>
                <c:pt idx="0">
                  <c:v>Mon - Count of rideable_type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Sheet1!$E$13:$E$15</c:f>
              <c:numCache>
                <c:formatCode>General</c:formatCode>
                <c:ptCount val="2"/>
                <c:pt idx="0">
                  <c:v>25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4E-43FE-AF6B-4FE2DF734A21}"/>
            </c:ext>
          </c:extLst>
        </c:ser>
        <c:ser>
          <c:idx val="4"/>
          <c:order val="4"/>
          <c:tx>
            <c:strRef>
              <c:f>Sheet1!$F$10:$F$12</c:f>
              <c:strCache>
                <c:ptCount val="1"/>
                <c:pt idx="0">
                  <c:v>Tue - Average of ride_length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Sheet1!$F$13:$F$15</c:f>
              <c:numCache>
                <c:formatCode>[$-F400]h:mm:ss\ AM/PM</c:formatCode>
                <c:ptCount val="2"/>
                <c:pt idx="0">
                  <c:v>1.5525925925925929E-2</c:v>
                </c:pt>
                <c:pt idx="1">
                  <c:v>9.0858892746913545E-3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4E-43FE-AF6B-4FE2DF734A21}"/>
            </c:ext>
          </c:extLst>
        </c:ser>
        <c:ser>
          <c:idx val="5"/>
          <c:order val="5"/>
          <c:tx>
            <c:strRef>
              <c:f>Sheet1!$G$10:$G$12</c:f>
              <c:strCache>
                <c:ptCount val="1"/>
                <c:pt idx="0">
                  <c:v>Tue - Count of rideable_type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Sheet1!$G$13:$G$15</c:f>
              <c:numCache>
                <c:formatCode>General</c:formatCode>
                <c:ptCount val="2"/>
                <c:pt idx="0">
                  <c:v>25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4E-43FE-AF6B-4FE2DF734A21}"/>
            </c:ext>
          </c:extLst>
        </c:ser>
        <c:ser>
          <c:idx val="6"/>
          <c:order val="6"/>
          <c:tx>
            <c:strRef>
              <c:f>Sheet1!$H$10:$H$12</c:f>
              <c:strCache>
                <c:ptCount val="1"/>
                <c:pt idx="0">
                  <c:v>Wed - Average of ride_length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Sheet1!$H$13:$H$15</c:f>
              <c:numCache>
                <c:formatCode>[$-F400]h:mm:ss\ AM/PM</c:formatCode>
                <c:ptCount val="2"/>
                <c:pt idx="0">
                  <c:v>2.4257192460317462E-2</c:v>
                </c:pt>
                <c:pt idx="1">
                  <c:v>1.0262509850275808E-2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4E-43FE-AF6B-4FE2DF734A21}"/>
            </c:ext>
          </c:extLst>
        </c:ser>
        <c:ser>
          <c:idx val="7"/>
          <c:order val="7"/>
          <c:tx>
            <c:strRef>
              <c:f>Sheet1!$I$10:$I$12</c:f>
              <c:strCache>
                <c:ptCount val="1"/>
                <c:pt idx="0">
                  <c:v>Wed - Count of rideable_type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Sheet1!$I$13:$I$15</c:f>
              <c:numCache>
                <c:formatCode>General</c:formatCode>
                <c:ptCount val="2"/>
                <c:pt idx="0">
                  <c:v>28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4E-43FE-AF6B-4FE2DF734A21}"/>
            </c:ext>
          </c:extLst>
        </c:ser>
        <c:ser>
          <c:idx val="8"/>
          <c:order val="8"/>
          <c:tx>
            <c:strRef>
              <c:f>Sheet1!$J$10:$J$12</c:f>
              <c:strCache>
                <c:ptCount val="1"/>
                <c:pt idx="0">
                  <c:v>Thu - Average of ride_length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Sheet1!$J$13:$J$15</c:f>
              <c:numCache>
                <c:formatCode>[$-F400]h:mm:ss\ AM/PM</c:formatCode>
                <c:ptCount val="2"/>
                <c:pt idx="0">
                  <c:v>1.8444967144563919E-2</c:v>
                </c:pt>
                <c:pt idx="1">
                  <c:v>1.1256050084175085E-2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4E-43FE-AF6B-4FE2DF734A21}"/>
            </c:ext>
          </c:extLst>
        </c:ser>
        <c:ser>
          <c:idx val="9"/>
          <c:order val="9"/>
          <c:tx>
            <c:strRef>
              <c:f>Sheet1!$K$10:$K$12</c:f>
              <c:strCache>
                <c:ptCount val="1"/>
                <c:pt idx="0">
                  <c:v>Thu - Count of rideable_type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Sheet1!$K$13:$K$15</c:f>
              <c:numCache>
                <c:formatCode>General</c:formatCode>
                <c:ptCount val="2"/>
                <c:pt idx="0">
                  <c:v>31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4E-43FE-AF6B-4FE2DF734A21}"/>
            </c:ext>
          </c:extLst>
        </c:ser>
        <c:ser>
          <c:idx val="10"/>
          <c:order val="10"/>
          <c:tx>
            <c:strRef>
              <c:f>Sheet1!$L$10:$L$12</c:f>
              <c:strCache>
                <c:ptCount val="1"/>
                <c:pt idx="0">
                  <c:v>Fri - Average of ride_length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Sheet1!$L$13:$L$15</c:f>
              <c:numCache>
                <c:formatCode>[$-F400]h:mm:ss\ AM/PM</c:formatCode>
                <c:ptCount val="2"/>
                <c:pt idx="0">
                  <c:v>1.8940446127946129E-2</c:v>
                </c:pt>
                <c:pt idx="1">
                  <c:v>1.1044973544973545E-2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4E-43FE-AF6B-4FE2DF734A21}"/>
            </c:ext>
          </c:extLst>
        </c:ser>
        <c:ser>
          <c:idx val="11"/>
          <c:order val="11"/>
          <c:tx>
            <c:strRef>
              <c:f>Sheet1!$M$10:$M$12</c:f>
              <c:strCache>
                <c:ptCount val="1"/>
                <c:pt idx="0">
                  <c:v>Fri - Count of rideable_type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Sheet1!$M$13:$M$15</c:f>
              <c:numCache>
                <c:formatCode>General</c:formatCode>
                <c:ptCount val="2"/>
                <c:pt idx="0">
                  <c:v>22</c:v>
                </c:pt>
                <c:pt idx="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44E-43FE-AF6B-4FE2DF734A21}"/>
            </c:ext>
          </c:extLst>
        </c:ser>
        <c:ser>
          <c:idx val="12"/>
          <c:order val="12"/>
          <c:tx>
            <c:strRef>
              <c:f>Sheet1!$N$10:$N$12</c:f>
              <c:strCache>
                <c:ptCount val="1"/>
                <c:pt idx="0">
                  <c:v>Sat - Average of ride_length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Sheet1!$N$13:$N$15</c:f>
              <c:numCache>
                <c:formatCode>[$-F400]h:mm:ss\ AM/PM</c:formatCode>
                <c:ptCount val="2"/>
                <c:pt idx="0">
                  <c:v>1.8971661054994392E-2</c:v>
                </c:pt>
                <c:pt idx="1">
                  <c:v>1.1933434959349593E-2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4E-43FE-AF6B-4FE2DF734A21}"/>
            </c:ext>
          </c:extLst>
        </c:ser>
        <c:ser>
          <c:idx val="13"/>
          <c:order val="13"/>
          <c:tx>
            <c:strRef>
              <c:f>Sheet1!$O$10:$O$12</c:f>
              <c:strCache>
                <c:ptCount val="1"/>
                <c:pt idx="0">
                  <c:v>Sat - Count of rideable_type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Sheet1!$A$13:$A$15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Sheet1!$O$13:$O$15</c:f>
              <c:numCache>
                <c:formatCode>General</c:formatCode>
                <c:ptCount val="2"/>
                <c:pt idx="0">
                  <c:v>33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44E-43FE-AF6B-4FE2DF734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774544"/>
        <c:axId val="367775984"/>
      </c:barChart>
      <c:catAx>
        <c:axId val="36777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75984"/>
        <c:crosses val="autoZero"/>
        <c:auto val="1"/>
        <c:lblAlgn val="ctr"/>
        <c:lblOffset val="100"/>
        <c:noMultiLvlLbl val="0"/>
      </c:catAx>
      <c:valAx>
        <c:axId val="36777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7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[cyclistic_combined_with_pivot_table.xlsx]Sheet1!PivotTable4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Sheet1!$B$20:$B$21</c:f>
              <c:strCache>
                <c:ptCount val="1"/>
                <c:pt idx="0">
                  <c:v>classic_bike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Sheet1!$A$22:$A$24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Sheet1!$B$22:$B$24</c:f>
              <c:numCache>
                <c:formatCode>General</c:formatCode>
                <c:ptCount val="2"/>
                <c:pt idx="0">
                  <c:v>107</c:v>
                </c:pt>
                <c:pt idx="1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6-476B-939E-1D6C32192BAC}"/>
            </c:ext>
          </c:extLst>
        </c:ser>
        <c:ser>
          <c:idx val="1"/>
          <c:order val="1"/>
          <c:tx>
            <c:strRef>
              <c:f>Sheet1!$C$20:$C$21</c:f>
              <c:strCache>
                <c:ptCount val="1"/>
                <c:pt idx="0">
                  <c:v>docked_bike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Sheet1!$A$22:$A$24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Sheet1!$C$22:$C$24</c:f>
              <c:numCache>
                <c:formatCode>General</c:formatCode>
                <c:ptCount val="2"/>
                <c:pt idx="0">
                  <c:v>8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B6-476B-939E-1D6C32192BAC}"/>
            </c:ext>
          </c:extLst>
        </c:ser>
        <c:ser>
          <c:idx val="2"/>
          <c:order val="2"/>
          <c:tx>
            <c:strRef>
              <c:f>Sheet1!$D$20:$D$21</c:f>
              <c:strCache>
                <c:ptCount val="1"/>
                <c:pt idx="0">
                  <c:v>electric_bike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Sheet1!$A$22:$A$24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Sheet1!$D$22:$D$24</c:f>
              <c:numCache>
                <c:formatCode>General</c:formatCode>
                <c:ptCount val="2"/>
                <c:pt idx="0">
                  <c:v>67</c:v>
                </c:pt>
                <c:pt idx="1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B6-476B-939E-1D6C3219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766864"/>
        <c:axId val="367771184"/>
      </c:barChart>
      <c:catAx>
        <c:axId val="36776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71184"/>
        <c:crosses val="autoZero"/>
        <c:auto val="1"/>
        <c:lblAlgn val="ctr"/>
        <c:lblOffset val="100"/>
        <c:noMultiLvlLbl val="0"/>
      </c:catAx>
      <c:valAx>
        <c:axId val="3677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6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24</xdr:row>
      <xdr:rowOff>185737</xdr:rowOff>
    </xdr:from>
    <xdr:to>
      <xdr:col>5</xdr:col>
      <xdr:colOff>9525</xdr:colOff>
      <xdr:row>39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E5A01-5CB4-0D05-A093-0444E8250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323850</xdr:colOff>
      <xdr:row>15</xdr:row>
      <xdr:rowOff>90487</xdr:rowOff>
    </xdr:from>
    <xdr:to>
      <xdr:col>8</xdr:col>
      <xdr:colOff>571500</xdr:colOff>
      <xdr:row>29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B9B4A0-16AA-9DB9-984F-11D8ABA3D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30</xdr:row>
      <xdr:rowOff>176212</xdr:rowOff>
    </xdr:from>
    <xdr:to>
      <xdr:col>8</xdr:col>
      <xdr:colOff>533400</xdr:colOff>
      <xdr:row>45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2AE97A-E36B-00FD-D4DC-61D276849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yan chinnappa" refreshedDate="46282.830799305557" createdVersion="8" refreshedVersion="8" minRefreshableVersion="3" recordCount="500" xr:uid="{23BCE04A-EAAB-4C4E-9574-B38D950C1EB1}">
  <cacheSource type="worksheet">
    <worksheetSource name="Table1"/>
  </cacheSource>
  <cacheFields count="16">
    <cacheField name="ride_id" numFmtId="0">
      <sharedItems containsMixedTypes="1" containsNumber="1" containsInteger="1" minValue="417567905823258" maxValue="564793002368730"/>
    </cacheField>
    <cacheField name="rideable_type" numFmtId="0">
      <sharedItems count="3">
        <s v="classic_bike"/>
        <s v="docked_bike"/>
        <s v="electric_bike"/>
      </sharedItems>
    </cacheField>
    <cacheField name="started_at" numFmtId="22">
      <sharedItems containsSemiMixedTypes="0" containsNonDate="0" containsDate="1" containsString="0" minDate="2023-01-01T23:48:59" maxDate="2024-01-01T01:46:18"/>
    </cacheField>
    <cacheField name="ended_at" numFmtId="22">
      <sharedItems containsSemiMixedTypes="0" containsNonDate="0" containsDate="1" containsString="0" minDate="2023-01-01T23:55:15" maxDate="2024-01-01T01:53:25"/>
    </cacheField>
    <cacheField name="start_station_name" numFmtId="0">
      <sharedItems/>
    </cacheField>
    <cacheField name="start_station_id" numFmtId="0">
      <sharedItems containsMixedTypes="1" containsNumber="1" containsInteger="1" minValue="13008" maxValue="21213"/>
    </cacheField>
    <cacheField name="end_station_name" numFmtId="0">
      <sharedItems/>
    </cacheField>
    <cacheField name="end_station_id" numFmtId="0">
      <sharedItems containsMixedTypes="1" containsNumber="1" containsInteger="1" minValue="13008" maxValue="21213"/>
    </cacheField>
    <cacheField name="start_lat" numFmtId="0">
      <sharedItems containsSemiMixedTypes="0" containsString="0" containsNumber="1" minValue="41.834291" maxValue="41.938077999999997"/>
    </cacheField>
    <cacheField name="start_lng" numFmtId="0">
      <sharedItems containsSemiMixedTypes="0" containsString="0" containsNumber="1" minValue="-87.644588999999996" maxValue="-87.611566999999994"/>
    </cacheField>
    <cacheField name="end_lat" numFmtId="0">
      <sharedItems containsSemiMixedTypes="0" containsString="0" containsNumber="1" minValue="41.834235999999997" maxValue="41.938051999999999"/>
    </cacheField>
    <cacheField name="end_lng" numFmtId="0">
      <sharedItems containsSemiMixedTypes="0" containsString="0" containsNumber="1" minValue="-87.644592000000003" maxValue="-87.611548999999997"/>
    </cacheField>
    <cacheField name="member_casual" numFmtId="0">
      <sharedItems count="2">
        <s v="member"/>
        <s v="casual"/>
      </sharedItems>
    </cacheField>
    <cacheField name="ride_length" numFmtId="164">
      <sharedItems containsSemiMixedTypes="0" containsNonDate="0" containsDate="1" containsString="0" minDate="1899-12-30T00:04:00" maxDate="1899-12-30T02:21:15"/>
    </cacheField>
    <cacheField name="day_of_week" numFmtId="0">
      <sharedItems containsSemiMixedTypes="0" containsString="0" containsNumber="1" containsInteger="1" minValue="1" maxValue="7" count="7">
        <n v="1"/>
        <n v="4"/>
        <n v="5"/>
        <n v="6"/>
        <n v="7"/>
        <n v="2"/>
        <n v="3"/>
      </sharedItems>
    </cacheField>
    <cacheField name="day_name" numFmtId="0">
      <sharedItems count="7">
        <s v="Sun"/>
        <s v="Wed"/>
        <s v="Thu"/>
        <s v="Fri"/>
        <s v="Sat"/>
        <s v="Mon"/>
        <s v="T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058547FC0510C3B1"/>
    <x v="0"/>
    <d v="2023-01-01T23:48:59"/>
    <d v="2023-01-01T23:55:15"/>
    <s v="Millennium Park"/>
    <n v="13008"/>
    <s v="Dearborn St &amp; Erie St"/>
    <n v="13045"/>
    <n v="41.880747"/>
    <n v="-87.624542000000005"/>
    <n v="41.893856"/>
    <n v="-87.629718999999994"/>
    <x v="0"/>
    <d v="1899-12-30T00:06:16"/>
    <x v="0"/>
    <x v="0"/>
  </r>
  <r>
    <s v="044C0735043528FC"/>
    <x v="0"/>
    <d v="2023-01-04T00:55:28"/>
    <d v="2023-01-04T01:32:00"/>
    <s v="Theater on the Lake"/>
    <s v="TA1308000001"/>
    <s v="State St &amp; 33rd St"/>
    <n v="21213"/>
    <n v="41.926000000000002"/>
    <n v="-87.630926000000002"/>
    <n v="41.834581999999997"/>
    <n v="-87.626290999999995"/>
    <x v="0"/>
    <d v="1899-12-30T00:36:32"/>
    <x v="1"/>
    <x v="1"/>
  </r>
  <r>
    <s v="05D2AC6002940844"/>
    <x v="0"/>
    <d v="2023-01-04T17:06:48"/>
    <d v="2023-01-04T17:11:31"/>
    <s v="Canal St &amp; Adams St"/>
    <n v="13011"/>
    <s v="Columbus Dr &amp; Randolph St"/>
    <n v="13263"/>
    <n v="41.879669999999997"/>
    <n v="-87.640034"/>
    <n v="41.884242999999998"/>
    <n v="-87.619093000000007"/>
    <x v="0"/>
    <d v="1899-12-30T00:04:43"/>
    <x v="1"/>
    <x v="1"/>
  </r>
  <r>
    <s v="052378FC009CD65F"/>
    <x v="1"/>
    <d v="2023-01-05T04:46:17"/>
    <d v="2023-01-05T04:55:40"/>
    <s v="Kingsbury St &amp; Kinzie St"/>
    <s v="KA1503000043"/>
    <s v="Theater on the Lake"/>
    <s v="TA1308000001"/>
    <n v="41.889161999999999"/>
    <n v="-87.638704000000004"/>
    <n v="41.926340000000003"/>
    <n v="-87.630529999999993"/>
    <x v="0"/>
    <d v="1899-12-30T00:09:23"/>
    <x v="2"/>
    <x v="2"/>
  </r>
  <r>
    <s v="053C9FA0012E2B7D"/>
    <x v="0"/>
    <d v="2023-01-05T22:24:53"/>
    <d v="2023-01-05T23:12:23"/>
    <s v="Kingsbury St &amp; Kinzie St"/>
    <s v="KA1503000043"/>
    <s v="Broadway &amp; Barry Ave"/>
    <n v="13137"/>
    <n v="41.889280999999997"/>
    <n v="-87.638503999999998"/>
    <n v="41.937621999999998"/>
    <n v="-87.644112000000007"/>
    <x v="1"/>
    <d v="1899-12-30T00:47:30"/>
    <x v="2"/>
    <x v="2"/>
  </r>
  <r>
    <s v="043290B9044F9816"/>
    <x v="0"/>
    <d v="2023-01-06T00:25:19"/>
    <d v="2023-01-06T00:33:17"/>
    <s v="DuSable Harbor"/>
    <s v="KA1503000064"/>
    <s v="Streeter Dr &amp; Grand Ave"/>
    <n v="13022"/>
    <n v="41.887403999999997"/>
    <n v="-87.612468000000007"/>
    <n v="41.892001999999998"/>
    <n v="-87.612303999999995"/>
    <x v="0"/>
    <d v="1899-12-30T00:07:58"/>
    <x v="3"/>
    <x v="3"/>
  </r>
  <r>
    <s v="0544209E01A85AA7"/>
    <x v="2"/>
    <d v="2023-01-07T06:25:19"/>
    <d v="2023-01-07T07:54:22"/>
    <s v="Kingsbury St &amp; Kinzie St"/>
    <s v="KA1503000043"/>
    <s v="Streeter Dr &amp; Grand Ave"/>
    <n v="13022"/>
    <n v="41.889167999999998"/>
    <n v="-87.638283000000001"/>
    <n v="41.892598999999997"/>
    <n v="-87.611824999999996"/>
    <x v="1"/>
    <d v="1899-12-30T01:29:03"/>
    <x v="4"/>
    <x v="4"/>
  </r>
  <r>
    <s v="05D6A3BD0126FAD3"/>
    <x v="0"/>
    <d v="2023-01-07T15:38:19"/>
    <d v="2023-01-07T16:03:24"/>
    <s v="Dearborn St &amp; Erie St"/>
    <n v="13045"/>
    <s v="Kingsbury St &amp; Kinzie St"/>
    <s v="KA1503000043"/>
    <n v="41.894136000000003"/>
    <n v="-87.629292000000007"/>
    <n v="41.889409000000001"/>
    <n v="-87.638924000000003"/>
    <x v="1"/>
    <d v="1899-12-30T00:25:05"/>
    <x v="4"/>
    <x v="4"/>
  </r>
  <r>
    <s v="054EA86504FEC503"/>
    <x v="0"/>
    <d v="2023-01-07T19:07:04"/>
    <d v="2023-01-07T19:20:34"/>
    <s v="Kingsbury St &amp; Kinzie St"/>
    <s v="KA1503000043"/>
    <s v="Millennium Park"/>
    <n v="13008"/>
    <n v="41.888835999999998"/>
    <n v="-87.638651999999993"/>
    <n v="41.880951000000003"/>
    <n v="-87.624193000000005"/>
    <x v="0"/>
    <d v="1899-12-30T00:13:30"/>
    <x v="4"/>
    <x v="4"/>
  </r>
  <r>
    <s v="028139F60249C44D"/>
    <x v="2"/>
    <d v="2023-01-08T21:31:33"/>
    <d v="2023-01-08T21:55:26"/>
    <s v="Clark St &amp; Elm St"/>
    <s v="TA1307000024"/>
    <s v="Wells St &amp; Elm St"/>
    <s v="KA1504000135"/>
    <n v="41.902535"/>
    <n v="-87.631045999999998"/>
    <n v="41.903244000000001"/>
    <n v="-87.634611000000007"/>
    <x v="0"/>
    <d v="1899-12-30T00:23:53"/>
    <x v="0"/>
    <x v="0"/>
  </r>
  <r>
    <s v="0557C7B304FE8BCF"/>
    <x v="2"/>
    <d v="2023-01-09T06:44:00"/>
    <d v="2023-01-09T07:21:28"/>
    <s v="Theater on the Lake"/>
    <s v="TA1308000001"/>
    <s v="Theater on the Lake"/>
    <s v="TA1308000001"/>
    <n v="41.926031999999999"/>
    <n v="-87.630672000000004"/>
    <n v="41.926755999999997"/>
    <n v="-87.630960000000002"/>
    <x v="1"/>
    <d v="1899-12-30T00:37:28"/>
    <x v="5"/>
    <x v="5"/>
  </r>
  <r>
    <s v="01D00A87040C96C2"/>
    <x v="0"/>
    <d v="2023-01-10T00:29:52"/>
    <d v="2023-01-10T00:34:28"/>
    <s v="Clinton St &amp; Madison St"/>
    <s v="TA1305000032"/>
    <s v="Clinton St &amp; Madison St"/>
    <s v="TA1305000032"/>
    <n v="41.881951000000001"/>
    <n v="-87.641149999999996"/>
    <n v="41.882098999999997"/>
    <n v="-87.640653999999998"/>
    <x v="0"/>
    <d v="1899-12-30T00:04:36"/>
    <x v="6"/>
    <x v="6"/>
  </r>
  <r>
    <s v="04712B1C05F55E8E"/>
    <x v="0"/>
    <d v="2023-01-10T06:47:00"/>
    <d v="2023-01-10T06:53:23"/>
    <s v="Kingsbury St &amp; Kinzie St"/>
    <s v="KA1503000043"/>
    <s v="Streeter Dr &amp; Grand Ave"/>
    <n v="13022"/>
    <n v="41.889387999999997"/>
    <n v="-87.638216"/>
    <n v="41.892384"/>
    <n v="-87.611616999999995"/>
    <x v="0"/>
    <d v="1899-12-30T00:06:23"/>
    <x v="6"/>
    <x v="6"/>
  </r>
  <r>
    <s v="0454218805E18F81"/>
    <x v="0"/>
    <d v="2023-01-11T02:57:11"/>
    <d v="2023-01-11T03:15:31"/>
    <s v="Streeter Dr &amp; Grand Ave"/>
    <n v="13022"/>
    <s v="Streeter Dr &amp; Grand Ave"/>
    <n v="13022"/>
    <n v="41.892758999999998"/>
    <n v="-87.611880999999997"/>
    <n v="41.892595"/>
    <n v="-87.611793000000006"/>
    <x v="1"/>
    <d v="1899-12-30T00:18:20"/>
    <x v="1"/>
    <x v="1"/>
  </r>
  <r>
    <s v="00BA176A0330D28C"/>
    <x v="0"/>
    <d v="2023-01-11T15:10:24"/>
    <d v="2023-01-11T15:18:44"/>
    <s v="Millennium Park"/>
    <n v="13008"/>
    <s v="Canal St &amp; Adams St"/>
    <n v="13011"/>
    <n v="41.881531000000003"/>
    <n v="-87.624478999999994"/>
    <n v="41.879254000000003"/>
    <n v="-87.640018999999995"/>
    <x v="0"/>
    <d v="1899-12-30T00:08:20"/>
    <x v="1"/>
    <x v="1"/>
  </r>
  <r>
    <s v="0124182501E55620"/>
    <x v="2"/>
    <d v="2023-01-11T17:39:58"/>
    <d v="2023-01-11T17:54:46"/>
    <s v="DuSable Harbor"/>
    <s v="KA1503000064"/>
    <s v="Theater on the Lake"/>
    <s v="TA1308000001"/>
    <n v="41.886693999999999"/>
    <n v="-87.612378000000007"/>
    <n v="41.926242999999999"/>
    <n v="-87.630888999999996"/>
    <x v="0"/>
    <d v="1899-12-30T00:14:48"/>
    <x v="1"/>
    <x v="1"/>
  </r>
  <r>
    <s v="01BDCA3003F06590"/>
    <x v="2"/>
    <d v="2023-01-12T02:41:49"/>
    <d v="2023-01-12T03:00:46"/>
    <s v="DuSable Harbor"/>
    <s v="KA1503000064"/>
    <s v="DuSable Harbor"/>
    <s v="KA1503000064"/>
    <n v="41.886744999999998"/>
    <n v="-87.613212000000004"/>
    <n v="41.886642999999999"/>
    <n v="-87.613166000000007"/>
    <x v="1"/>
    <d v="1899-12-30T00:18:57"/>
    <x v="2"/>
    <x v="2"/>
  </r>
  <r>
    <s v="0376E48E03E35322"/>
    <x v="0"/>
    <d v="2023-01-13T05:34:43"/>
    <d v="2023-01-13T05:55:50"/>
    <s v="Canal St &amp; Adams St"/>
    <n v="13011"/>
    <s v="Canal St &amp; Adams St"/>
    <n v="13011"/>
    <n v="41.879624"/>
    <n v="-87.639627000000004"/>
    <n v="41.879525999999998"/>
    <n v="-87.639559000000006"/>
    <x v="1"/>
    <d v="1899-12-30T00:21:07"/>
    <x v="3"/>
    <x v="3"/>
  </r>
  <r>
    <s v="0454686F040598CD"/>
    <x v="2"/>
    <d v="2023-01-15T05:02:07"/>
    <d v="2023-01-15T05:26:00"/>
    <s v="Clinton St &amp; Madison St"/>
    <s v="TA1305000032"/>
    <s v="Streeter Dr &amp; Grand Ave"/>
    <n v="13022"/>
    <n v="41.882018000000002"/>
    <n v="-87.641362000000001"/>
    <n v="41.891795000000002"/>
    <n v="-87.611863999999997"/>
    <x v="0"/>
    <d v="1899-12-30T00:23:53"/>
    <x v="0"/>
    <x v="0"/>
  </r>
  <r>
    <s v="05F3171902003441"/>
    <x v="0"/>
    <d v="2023-01-18T04:40:42"/>
    <d v="2023-01-18T04:55:06"/>
    <s v="Wells St &amp; Concord Ln"/>
    <s v="TA1308000070"/>
    <s v="Wells St &amp; Concord Ln"/>
    <s v="TA1308000070"/>
    <n v="41.911710999999997"/>
    <n v="-87.635154"/>
    <n v="41.912601000000002"/>
    <n v="-87.635150999999993"/>
    <x v="0"/>
    <d v="1899-12-30T00:14:24"/>
    <x v="1"/>
    <x v="1"/>
  </r>
  <r>
    <s v="0143473902293B75"/>
    <x v="0"/>
    <d v="2023-01-18T08:20:14"/>
    <d v="2023-01-18T08:27:39"/>
    <s v="Broadway &amp; Barry Ave"/>
    <n v="13137"/>
    <s v="Columbus Dr &amp; Randolph St"/>
    <n v="13263"/>
    <n v="41.937261999999997"/>
    <n v="-87.644360000000006"/>
    <n v="41.885199"/>
    <n v="-87.619839999999996"/>
    <x v="0"/>
    <d v="1899-12-30T00:07:25"/>
    <x v="1"/>
    <x v="1"/>
  </r>
  <r>
    <s v="05D3E5D4009F2EB8"/>
    <x v="0"/>
    <d v="2023-01-18T20:11:56"/>
    <d v="2023-01-18T20:23:07"/>
    <s v="Dearborn St &amp; Erie St"/>
    <n v="13045"/>
    <s v="Dearborn St &amp; Erie St"/>
    <n v="13045"/>
    <n v="41.893996999999999"/>
    <n v="-87.629048999999995"/>
    <n v="41.893554000000002"/>
    <n v="-87.629240999999993"/>
    <x v="0"/>
    <d v="1899-12-30T00:11:11"/>
    <x v="1"/>
    <x v="1"/>
  </r>
  <r>
    <s v="044A542B0110B03B"/>
    <x v="0"/>
    <d v="2023-01-18T23:11:54"/>
    <d v="2023-01-18T23:46:52"/>
    <s v="Wells St &amp; Elm St"/>
    <s v="KA1504000135"/>
    <s v="Broadway &amp; Barry Ave"/>
    <n v="13137"/>
    <n v="41.902918"/>
    <n v="-87.633872999999994"/>
    <n v="41.937257000000002"/>
    <n v="-87.644030000000001"/>
    <x v="1"/>
    <d v="1899-12-30T00:34:58"/>
    <x v="1"/>
    <x v="1"/>
  </r>
  <r>
    <s v="05E8CF2A016C0705"/>
    <x v="2"/>
    <d v="2023-01-19T04:13:12"/>
    <d v="2023-01-19T04:21:39"/>
    <s v="DuSable Harbor"/>
    <s v="KA1503000064"/>
    <s v="Kingsbury St &amp; Kinzie St"/>
    <s v="KA1503000043"/>
    <n v="41.887146000000001"/>
    <n v="-87.612671000000006"/>
    <n v="41.889088000000001"/>
    <n v="-87.638515999999996"/>
    <x v="1"/>
    <d v="1899-12-30T00:08:27"/>
    <x v="2"/>
    <x v="2"/>
  </r>
  <r>
    <s v="0482D43303FA99DC"/>
    <x v="0"/>
    <d v="2023-01-21T10:01:18"/>
    <d v="2023-01-21T10:09:28"/>
    <s v="Broadway &amp; Barry Ave"/>
    <n v="13137"/>
    <s v="Broadway &amp; Barry Ave"/>
    <n v="13137"/>
    <n v="41.93779"/>
    <n v="-87.644576999999998"/>
    <n v="41.938051999999999"/>
    <n v="-87.643765999999999"/>
    <x v="1"/>
    <d v="1899-12-30T00:08:10"/>
    <x v="4"/>
    <x v="4"/>
  </r>
  <r>
    <s v="032F3A3601EBB5BB"/>
    <x v="0"/>
    <d v="2023-01-22T15:38:19"/>
    <d v="2023-01-22T16:02:09"/>
    <s v="Wells St &amp; Elm St"/>
    <s v="KA1504000135"/>
    <s v="Streeter Dr &amp; Grand Ave"/>
    <n v="13022"/>
    <n v="41.903675"/>
    <n v="-87.634764000000004"/>
    <n v="41.892076000000003"/>
    <n v="-87.612245000000001"/>
    <x v="0"/>
    <d v="1899-12-30T00:23:50"/>
    <x v="0"/>
    <x v="0"/>
  </r>
  <r>
    <s v="01281B4200F1E810"/>
    <x v="0"/>
    <d v="2023-01-22T20:29:29"/>
    <d v="2023-01-22T21:17:13"/>
    <s v="Michigan Ave &amp; Oak St"/>
    <n v="13042"/>
    <s v="State St &amp; 33rd St"/>
    <n v="21213"/>
    <n v="41.900894000000001"/>
    <n v="-87.623926999999995"/>
    <n v="41.834879000000001"/>
    <n v="-87.625643999999994"/>
    <x v="0"/>
    <d v="1899-12-30T00:47:44"/>
    <x v="0"/>
    <x v="0"/>
  </r>
  <r>
    <s v="00DBA51305F272DE"/>
    <x v="0"/>
    <d v="2023-01-22T22:42:56"/>
    <d v="2023-01-22T23:06:02"/>
    <s v="Columbus Dr &amp; Randolph St"/>
    <n v="13263"/>
    <s v="Michigan Ave &amp; Oak St"/>
    <n v="13042"/>
    <n v="41.885078999999998"/>
    <n v="-87.619039000000001"/>
    <n v="41.901088000000001"/>
    <n v="-87.624028999999993"/>
    <x v="0"/>
    <d v="1899-12-30T00:23:06"/>
    <x v="0"/>
    <x v="0"/>
  </r>
  <r>
    <s v="01CE08A6013FFCE3"/>
    <x v="0"/>
    <d v="2023-01-23T16:41:53"/>
    <d v="2023-01-23T16:58:26"/>
    <s v="Millennium Park"/>
    <n v="13008"/>
    <s v="Dearborn St &amp; Erie St"/>
    <n v="13045"/>
    <n v="41.881464999999999"/>
    <n v="-87.624082999999999"/>
    <n v="41.894030999999998"/>
    <n v="-87.629133999999993"/>
    <x v="0"/>
    <d v="1899-12-30T00:16:33"/>
    <x v="5"/>
    <x v="5"/>
  </r>
  <r>
    <s v="0404C3C60130789D"/>
    <x v="0"/>
    <d v="2023-01-25T08:00:14"/>
    <d v="2023-01-25T08:09:53"/>
    <s v="Broadway &amp; Barry Ave"/>
    <n v="13137"/>
    <s v="Wells St &amp; Elm St"/>
    <s v="KA1504000135"/>
    <n v="41.937848000000002"/>
    <n v="-87.643752000000006"/>
    <n v="41.903336000000003"/>
    <n v="-87.634735000000006"/>
    <x v="1"/>
    <d v="1899-12-30T00:09:39"/>
    <x v="1"/>
    <x v="1"/>
  </r>
  <r>
    <s v="013E9D5601F76C64"/>
    <x v="2"/>
    <d v="2023-01-25T15:45:24"/>
    <d v="2023-01-25T16:16:22"/>
    <s v="Dearborn St &amp; Erie St"/>
    <n v="13045"/>
    <s v="Dearborn St &amp; Erie St"/>
    <n v="13045"/>
    <n v="41.894162000000001"/>
    <n v="-87.629773999999998"/>
    <n v="41.894080000000002"/>
    <n v="-87.628818999999993"/>
    <x v="1"/>
    <d v="1899-12-30T00:30:58"/>
    <x v="1"/>
    <x v="1"/>
  </r>
  <r>
    <s v="017924F401670E6A"/>
    <x v="2"/>
    <d v="2023-01-25T19:07:08"/>
    <d v="2023-01-25T19:20:08"/>
    <s v="Clinton St &amp; Madison St"/>
    <s v="TA1305000032"/>
    <s v="Wells St &amp; Elm St"/>
    <s v="KA1504000135"/>
    <n v="41.882227"/>
    <n v="-87.641232000000002"/>
    <n v="41.903514000000001"/>
    <n v="-87.634372999999997"/>
    <x v="0"/>
    <d v="1899-12-30T00:13:00"/>
    <x v="1"/>
    <x v="1"/>
  </r>
  <r>
    <s v="0548AD8D043B11C0"/>
    <x v="2"/>
    <d v="2023-01-26T03:00:33"/>
    <d v="2023-01-26T03:08:06"/>
    <s v="Millennium Park"/>
    <n v="13008"/>
    <s v="Millennium Park"/>
    <n v="13008"/>
    <n v="41.881495000000001"/>
    <n v="-87.624033999999995"/>
    <n v="41.881498000000001"/>
    <n v="-87.624151999999995"/>
    <x v="1"/>
    <d v="1899-12-30T00:07:33"/>
    <x v="2"/>
    <x v="2"/>
  </r>
  <r>
    <s v="056DA7C7012EBF52"/>
    <x v="0"/>
    <d v="2023-01-26T08:26:18"/>
    <d v="2023-01-26T08:38:59"/>
    <s v="Clinton St &amp; Madison St"/>
    <s v="TA1305000032"/>
    <s v="Wells St &amp; Elm St"/>
    <s v="KA1504000135"/>
    <n v="41.881887999999996"/>
    <n v="-87.640687999999997"/>
    <n v="41.902991"/>
    <n v="-87.633842000000001"/>
    <x v="0"/>
    <d v="1899-12-30T00:12:41"/>
    <x v="2"/>
    <x v="2"/>
  </r>
  <r>
    <s v="05B04ECE0234861F"/>
    <x v="2"/>
    <d v="2023-01-26T20:17:28"/>
    <d v="2023-01-26T21:33:02"/>
    <s v="Clinton St &amp; Madison St"/>
    <s v="TA1305000032"/>
    <s v="Kingsbury St &amp; Kinzie St"/>
    <s v="KA1503000043"/>
    <n v="41.882536999999999"/>
    <n v="-87.640872000000002"/>
    <n v="41.888897999999998"/>
    <n v="-87.638924000000003"/>
    <x v="1"/>
    <d v="1899-12-30T01:15:34"/>
    <x v="2"/>
    <x v="2"/>
  </r>
  <r>
    <s v="05BA561A02EF73FC"/>
    <x v="0"/>
    <d v="2023-01-26T22:40:01"/>
    <d v="2023-01-26T22:47:03"/>
    <s v="Broadway &amp; Barry Ave"/>
    <n v="13137"/>
    <s v="Dearborn St &amp; Erie St"/>
    <n v="13045"/>
    <n v="41.937579999999997"/>
    <n v="-87.644492999999997"/>
    <n v="41.894148999999999"/>
    <n v="-87.628996000000001"/>
    <x v="1"/>
    <d v="1899-12-30T00:07:02"/>
    <x v="2"/>
    <x v="2"/>
  </r>
  <r>
    <s v="05028BF900F7C8CB"/>
    <x v="0"/>
    <d v="2023-01-28T05:50:05"/>
    <d v="2023-01-28T06:09:38"/>
    <s v="Canal St &amp; Adams St"/>
    <n v="13011"/>
    <s v="Clark St &amp; Elm St"/>
    <s v="TA1307000024"/>
    <n v="41.878929999999997"/>
    <n v="-87.639489999999995"/>
    <n v="41.902892000000001"/>
    <n v="-87.631397000000007"/>
    <x v="0"/>
    <d v="1899-12-30T00:19:33"/>
    <x v="4"/>
    <x v="4"/>
  </r>
  <r>
    <s v="021EBD0A011BA833"/>
    <x v="2"/>
    <d v="2023-01-28T17:22:42"/>
    <d v="2023-01-28T17:40:46"/>
    <s v="Columbus Dr &amp; Randolph St"/>
    <n v="13263"/>
    <s v="Broadway &amp; Barry Ave"/>
    <n v="13137"/>
    <n v="41.884492999999999"/>
    <n v="-87.62"/>
    <n v="41.937164000000003"/>
    <n v="-87.643630000000002"/>
    <x v="1"/>
    <d v="1899-12-30T00:18:04"/>
    <x v="4"/>
    <x v="4"/>
  </r>
  <r>
    <s v="03EEB4F5041F1A08"/>
    <x v="2"/>
    <d v="2023-01-30T03:44:42"/>
    <d v="2023-01-30T03:49:56"/>
    <s v="DuSable Harbor"/>
    <s v="KA1503000064"/>
    <s v="Clark St &amp; Elm St"/>
    <s v="TA1307000024"/>
    <n v="41.886592"/>
    <n v="-87.613185999999999"/>
    <n v="41.902661999999999"/>
    <n v="-87.631321"/>
    <x v="0"/>
    <d v="1899-12-30T00:05:14"/>
    <x v="5"/>
    <x v="5"/>
  </r>
  <r>
    <s v="03B9A8BA02FAD8E2"/>
    <x v="0"/>
    <d v="2023-02-01T14:30:20"/>
    <d v="2023-02-01T14:40:23"/>
    <s v="Columbus Dr &amp; Randolph St"/>
    <n v="13263"/>
    <s v="Kingsbury St &amp; Kinzie St"/>
    <s v="KA1503000043"/>
    <n v="41.884433000000001"/>
    <n v="-87.619142999999994"/>
    <n v="41.889557000000003"/>
    <n v="-87.638135000000005"/>
    <x v="1"/>
    <d v="1899-12-30T00:10:03"/>
    <x v="1"/>
    <x v="1"/>
  </r>
  <r>
    <s v="02D3629B058CEF06"/>
    <x v="2"/>
    <d v="2023-02-03T01:51:54"/>
    <d v="2023-02-03T02:00:17"/>
    <s v="Clark St &amp; Elm St"/>
    <s v="TA1307000024"/>
    <s v="Broadway &amp; Barry Ave"/>
    <n v="13137"/>
    <n v="41.902748000000003"/>
    <n v="-87.631219000000002"/>
    <n v="41.937465000000003"/>
    <n v="-87.643625999999998"/>
    <x v="0"/>
    <d v="1899-12-30T00:08:23"/>
    <x v="3"/>
    <x v="3"/>
  </r>
  <r>
    <s v="0163FB07020961B5"/>
    <x v="0"/>
    <d v="2023-02-04T02:22:43"/>
    <d v="2023-02-04T02:49:15"/>
    <s v="Kingsbury St &amp; Kinzie St"/>
    <s v="KA1503000043"/>
    <s v="Theater on the Lake"/>
    <s v="TA1308000001"/>
    <n v="41.888945999999997"/>
    <n v="-87.638728"/>
    <n v="41.92671"/>
    <n v="-87.630610000000004"/>
    <x v="0"/>
    <d v="1899-12-30T00:26:32"/>
    <x v="4"/>
    <x v="4"/>
  </r>
  <r>
    <s v="0317CFC702B2EB7A"/>
    <x v="2"/>
    <d v="2023-02-07T06:19:47"/>
    <d v="2023-02-07T06:36:51"/>
    <s v="Clinton St &amp; Madison St"/>
    <s v="TA1305000032"/>
    <s v="Broadway &amp; Barry Ave"/>
    <n v="13137"/>
    <n v="41.882624999999997"/>
    <n v="-87.641050000000007"/>
    <n v="41.937989000000002"/>
    <n v="-87.644026999999994"/>
    <x v="0"/>
    <d v="1899-12-30T00:17:04"/>
    <x v="6"/>
    <x v="6"/>
  </r>
  <r>
    <s v="03D2FCC705DF01B5"/>
    <x v="2"/>
    <d v="2023-02-07T16:30:08"/>
    <d v="2023-02-07T17:24:53"/>
    <s v="Broadway &amp; Barry Ave"/>
    <n v="13137"/>
    <s v="Michigan Ave &amp; Oak St"/>
    <n v="13042"/>
    <n v="41.937632000000001"/>
    <n v="-87.644084000000007"/>
    <n v="41.901150000000001"/>
    <n v="-87.623440000000002"/>
    <x v="1"/>
    <d v="1899-12-30T00:54:45"/>
    <x v="6"/>
    <x v="6"/>
  </r>
  <r>
    <s v="05E4863304B39A23"/>
    <x v="0"/>
    <d v="2023-02-07T17:41:51"/>
    <d v="2023-02-07T17:59:47"/>
    <s v="Millennium Park"/>
    <n v="13008"/>
    <s v="Millennium Park"/>
    <n v="13008"/>
    <n v="41.880637999999998"/>
    <n v="-87.624538999999999"/>
    <n v="41.881188000000002"/>
    <n v="-87.624048999999999"/>
    <x v="0"/>
    <d v="1899-12-30T00:17:56"/>
    <x v="6"/>
    <x v="6"/>
  </r>
  <r>
    <s v="01A45B4F0413D492"/>
    <x v="0"/>
    <d v="2023-02-08T04:04:28"/>
    <d v="2023-02-08T04:41:53"/>
    <s v="Kingsbury St &amp; Kinzie St"/>
    <s v="KA1503000043"/>
    <s v="Canal St &amp; Adams St"/>
    <n v="13011"/>
    <n v="41.888866999999998"/>
    <n v="-87.63888"/>
    <n v="41.879066000000002"/>
    <n v="-87.639517999999995"/>
    <x v="0"/>
    <d v="1899-12-30T00:37:25"/>
    <x v="1"/>
    <x v="1"/>
  </r>
  <r>
    <s v="00AC36AC05C7ACF9"/>
    <x v="0"/>
    <d v="2023-02-08T12:46:41"/>
    <d v="2023-02-08T13:28:37"/>
    <s v="Millennium Park"/>
    <n v="13008"/>
    <s v="Broadway &amp; Barry Ave"/>
    <n v="13137"/>
    <n v="41.880932000000001"/>
    <n v="-87.623772000000002"/>
    <n v="41.937095999999997"/>
    <n v="-87.643949000000006"/>
    <x v="1"/>
    <d v="1899-12-30T00:41:56"/>
    <x v="1"/>
    <x v="1"/>
  </r>
  <r>
    <s v="05F516B50377608F"/>
    <x v="0"/>
    <d v="2023-02-10T05:00:58"/>
    <d v="2023-02-10T05:28:27"/>
    <s v="Canal St &amp; Adams St"/>
    <n v="13011"/>
    <s v="State St &amp; 33rd St"/>
    <n v="21213"/>
    <n v="41.878943"/>
    <n v="-87.640326999999999"/>
    <n v="41.83493"/>
    <n v="-87.625929999999997"/>
    <x v="0"/>
    <d v="1899-12-30T00:27:29"/>
    <x v="3"/>
    <x v="3"/>
  </r>
  <r>
    <s v="0274E96700D2CD68"/>
    <x v="2"/>
    <d v="2023-02-11T08:20:41"/>
    <d v="2023-02-11T09:20:21"/>
    <s v="Streeter Dr &amp; Grand Ave"/>
    <n v="13022"/>
    <s v="Wells St &amp; Elm St"/>
    <s v="KA1504000135"/>
    <n v="41.892465999999999"/>
    <n v="-87.612105"/>
    <n v="41.902977"/>
    <n v="-87.633983000000001"/>
    <x v="1"/>
    <d v="1899-12-30T00:59:40"/>
    <x v="4"/>
    <x v="4"/>
  </r>
  <r>
    <s v="0390C2A601316D05"/>
    <x v="0"/>
    <d v="2023-02-12T01:18:46"/>
    <d v="2023-02-12T01:48:37"/>
    <s v="Columbus Dr &amp; Randolph St"/>
    <n v="13263"/>
    <s v="Millennium Park"/>
    <n v="13008"/>
    <n v="41.885226000000003"/>
    <n v="-87.619269000000003"/>
    <n v="41.881239000000001"/>
    <n v="-87.623805000000004"/>
    <x v="1"/>
    <d v="1899-12-30T00:29:51"/>
    <x v="0"/>
    <x v="0"/>
  </r>
  <r>
    <s v="0383851603C9C082"/>
    <x v="2"/>
    <d v="2023-02-12T18:16:00"/>
    <d v="2023-02-12T18:41:51"/>
    <s v="Theater on the Lake"/>
    <s v="TA1308000001"/>
    <s v="Wells St &amp; Concord Ln"/>
    <s v="TA1308000070"/>
    <n v="41.926602000000003"/>
    <n v="-87.630645000000001"/>
    <n v="41.912185000000001"/>
    <n v="-87.634913999999995"/>
    <x v="1"/>
    <d v="1899-12-30T00:25:51"/>
    <x v="0"/>
    <x v="0"/>
  </r>
  <r>
    <s v="026AB70004A3C074"/>
    <x v="0"/>
    <d v="2023-02-15T02:40:22"/>
    <d v="2023-02-15T03:58:34"/>
    <s v="Wells St &amp; Concord Ln"/>
    <s v="TA1308000070"/>
    <s v="State St &amp; 33rd St"/>
    <n v="21213"/>
    <n v="41.911985000000001"/>
    <n v="-87.635113000000004"/>
    <n v="41.834412999999998"/>
    <n v="-87.625921000000005"/>
    <x v="1"/>
    <d v="1899-12-30T01:18:12"/>
    <x v="1"/>
    <x v="1"/>
  </r>
  <r>
    <s v="024D3EF905CCB7D3"/>
    <x v="0"/>
    <d v="2023-02-15T03:19:22"/>
    <d v="2023-02-15T03:31:24"/>
    <s v="Wells St &amp; Elm St"/>
    <s v="KA1504000135"/>
    <s v="Clinton St &amp; Madison St"/>
    <s v="TA1305000032"/>
    <n v="41.902836000000001"/>
    <n v="-87.633905999999996"/>
    <n v="41.88252"/>
    <n v="-87.640743999999998"/>
    <x v="0"/>
    <d v="1899-12-30T00:12:02"/>
    <x v="1"/>
    <x v="1"/>
  </r>
  <r>
    <s v="03D35724030F7E4E"/>
    <x v="0"/>
    <d v="2023-02-15T07:45:13"/>
    <d v="2023-02-15T07:54:48"/>
    <s v="Millennium Park"/>
    <n v="13008"/>
    <s v="Clinton St &amp; Madison St"/>
    <s v="TA1305000032"/>
    <n v="41.880732999999999"/>
    <n v="-87.624573999999996"/>
    <n v="41.881816999999998"/>
    <n v="-87.641189999999995"/>
    <x v="1"/>
    <d v="1899-12-30T00:09:35"/>
    <x v="1"/>
    <x v="1"/>
  </r>
  <r>
    <s v="055EA3B905381A1A"/>
    <x v="0"/>
    <d v="2023-02-16T17:24:58"/>
    <d v="2023-02-16T17:34:20"/>
    <s v="Canal St &amp; Adams St"/>
    <n v="13011"/>
    <s v="Kingsbury St &amp; Kinzie St"/>
    <s v="KA1503000043"/>
    <n v="41.879209000000003"/>
    <n v="-87.639897000000005"/>
    <n v="41.889249"/>
    <n v="-87.638074000000003"/>
    <x v="0"/>
    <d v="1899-12-30T00:09:22"/>
    <x v="2"/>
    <x v="2"/>
  </r>
  <r>
    <s v="039BF7F002194174"/>
    <x v="2"/>
    <d v="2023-02-17T01:03:32"/>
    <d v="2023-02-17T01:14:36"/>
    <s v="State St &amp; 33rd St"/>
    <n v="21213"/>
    <s v="Broadway &amp; Barry Ave"/>
    <n v="13137"/>
    <n v="41.834589000000001"/>
    <n v="-87.625888000000003"/>
    <n v="41.937297000000001"/>
    <n v="-87.644001000000003"/>
    <x v="1"/>
    <d v="1899-12-30T00:11:04"/>
    <x v="3"/>
    <x v="3"/>
  </r>
  <r>
    <s v="05AF244105B08EC9"/>
    <x v="0"/>
    <d v="2023-02-17T11:30:22"/>
    <d v="2023-02-17T12:06:07"/>
    <s v="DuSable Harbor"/>
    <s v="KA1503000064"/>
    <s v="Clark St &amp; Elm St"/>
    <s v="TA1307000024"/>
    <n v="41.887109000000002"/>
    <n v="-87.612843999999996"/>
    <n v="41.902915999999998"/>
    <n v="-87.631286000000003"/>
    <x v="0"/>
    <d v="1899-12-30T00:35:45"/>
    <x v="3"/>
    <x v="3"/>
  </r>
  <r>
    <s v="01820D5D0401D3F4"/>
    <x v="0"/>
    <d v="2023-02-18T01:22:05"/>
    <d v="2023-02-18T01:28:57"/>
    <s v="State St &amp; 33rd St"/>
    <n v="21213"/>
    <s v="State St &amp; 33rd St"/>
    <n v="21213"/>
    <n v="41.834589999999999"/>
    <n v="-87.625632999999993"/>
    <n v="41.834508"/>
    <n v="-87.625484999999998"/>
    <x v="0"/>
    <d v="1899-12-30T00:06:52"/>
    <x v="4"/>
    <x v="4"/>
  </r>
  <r>
    <s v="04AF73CF034A0B3B"/>
    <x v="2"/>
    <d v="2023-02-18T09:40:01"/>
    <d v="2023-02-18T10:14:46"/>
    <s v="Columbus Dr &amp; Randolph St"/>
    <n v="13263"/>
    <s v="Michigan Ave &amp; Oak St"/>
    <n v="13042"/>
    <n v="41.884453999999998"/>
    <n v="-87.619889000000001"/>
    <n v="41.901347000000001"/>
    <n v="-87.624002000000004"/>
    <x v="1"/>
    <d v="1899-12-30T00:34:45"/>
    <x v="4"/>
    <x v="4"/>
  </r>
  <r>
    <s v="05EC3622045D052D"/>
    <x v="2"/>
    <d v="2023-02-18T12:53:22"/>
    <d v="2023-02-18T13:04:10"/>
    <s v="State St &amp; 33rd St"/>
    <n v="21213"/>
    <s v="Wells St &amp; Concord Ln"/>
    <s v="TA1308000070"/>
    <n v="41.834490000000002"/>
    <n v="-87.625378999999995"/>
    <n v="41.911763999999998"/>
    <n v="-87.634359000000003"/>
    <x v="0"/>
    <d v="1899-12-30T00:10:48"/>
    <x v="4"/>
    <x v="4"/>
  </r>
  <r>
    <s v="00CBA001052DE3B9"/>
    <x v="0"/>
    <d v="2023-02-18T15:54:58"/>
    <d v="2023-02-18T16:05:25"/>
    <s v="Canal St &amp; Adams St"/>
    <n v="13011"/>
    <s v="Columbus Dr &amp; Randolph St"/>
    <n v="13263"/>
    <n v="41.878846000000003"/>
    <n v="-87.639786000000001"/>
    <n v="41.884610000000002"/>
    <n v="-87.619038000000003"/>
    <x v="0"/>
    <d v="1899-12-30T00:10:27"/>
    <x v="4"/>
    <x v="4"/>
  </r>
  <r>
    <s v="043ADB5E00E98507"/>
    <x v="2"/>
    <d v="2023-02-19T07:25:03"/>
    <d v="2023-02-19T08:06:43"/>
    <s v="Wells St &amp; Elm St"/>
    <s v="KA1504000135"/>
    <s v="Columbus Dr &amp; Randolph St"/>
    <n v="13263"/>
    <n v="41.903618000000002"/>
    <n v="-87.634501999999998"/>
    <n v="41.884352999999997"/>
    <n v="-87.619546999999997"/>
    <x v="1"/>
    <d v="1899-12-30T00:41:40"/>
    <x v="0"/>
    <x v="0"/>
  </r>
  <r>
    <s v="05E4D9870166462E"/>
    <x v="0"/>
    <d v="2023-02-20T07:31:01"/>
    <d v="2023-02-20T07:41:54"/>
    <s v="Dearborn St &amp; Erie St"/>
    <n v="13045"/>
    <s v="Clinton St &amp; Madison St"/>
    <s v="TA1305000032"/>
    <n v="41.894461999999997"/>
    <n v="-87.629042999999996"/>
    <n v="41.882680999999998"/>
    <n v="-87.640670999999998"/>
    <x v="0"/>
    <d v="1899-12-30T00:10:53"/>
    <x v="5"/>
    <x v="5"/>
  </r>
  <r>
    <s v="0176F6120373A788"/>
    <x v="0"/>
    <d v="2023-02-21T22:10:57"/>
    <d v="2023-02-21T22:40:49"/>
    <s v="Clark St &amp; Elm St"/>
    <s v="TA1307000024"/>
    <s v="Wells St &amp; Elm St"/>
    <s v="KA1504000135"/>
    <n v="41.903027000000002"/>
    <n v="-87.631567000000004"/>
    <n v="41.903668000000003"/>
    <n v="-87.634043000000005"/>
    <x v="1"/>
    <d v="1899-12-30T00:29:52"/>
    <x v="6"/>
    <x v="6"/>
  </r>
  <r>
    <s v="0246D5C705DDB2FB"/>
    <x v="0"/>
    <d v="2023-02-22T13:30:04"/>
    <d v="2023-02-22T13:39:20"/>
    <s v="Theater on the Lake"/>
    <s v="TA1308000001"/>
    <s v="Wells St &amp; Elm St"/>
    <s v="KA1504000135"/>
    <n v="41.926654999999997"/>
    <n v="-87.630728000000005"/>
    <n v="41.902968999999999"/>
    <n v="-87.634467999999998"/>
    <x v="0"/>
    <d v="1899-12-30T00:09:16"/>
    <x v="1"/>
    <x v="1"/>
  </r>
  <r>
    <s v="05014E26055AA66E"/>
    <x v="1"/>
    <d v="2023-02-23T16:47:34"/>
    <d v="2023-02-23T17:17:36"/>
    <s v="Streeter Dr &amp; Grand Ave"/>
    <n v="13022"/>
    <s v="Clark St &amp; Elm St"/>
    <s v="TA1307000024"/>
    <n v="41.892083999999997"/>
    <n v="-87.612139999999997"/>
    <n v="41.903146"/>
    <n v="-87.631097999999994"/>
    <x v="0"/>
    <d v="1899-12-30T00:30:02"/>
    <x v="2"/>
    <x v="2"/>
  </r>
  <r>
    <s v="057E519404AA4E34"/>
    <x v="0"/>
    <d v="2023-02-23T16:57:15"/>
    <d v="2023-02-23T17:02:50"/>
    <s v="Dearborn St &amp; Erie St"/>
    <n v="13045"/>
    <s v="Streeter Dr &amp; Grand Ave"/>
    <n v="13022"/>
    <n v="41.894311999999999"/>
    <n v="-87.628929999999997"/>
    <n v="41.891976999999997"/>
    <n v="-87.612258999999995"/>
    <x v="0"/>
    <d v="1899-12-30T00:05:35"/>
    <x v="2"/>
    <x v="2"/>
  </r>
  <r>
    <s v="0170820C034A9C98"/>
    <x v="2"/>
    <d v="2023-02-24T20:29:35"/>
    <d v="2023-02-24T20:50:03"/>
    <s v="Wells St &amp; Concord Ln"/>
    <s v="TA1308000070"/>
    <s v="Michigan Ave &amp; Oak St"/>
    <n v="13042"/>
    <n v="41.911794999999998"/>
    <n v="-87.635135000000005"/>
    <n v="41.901113000000002"/>
    <n v="-87.623945000000006"/>
    <x v="0"/>
    <d v="1899-12-30T00:20:28"/>
    <x v="3"/>
    <x v="3"/>
  </r>
  <r>
    <s v="042CAC4F0426A9A1"/>
    <x v="0"/>
    <d v="2023-02-25T18:24:12"/>
    <d v="2023-02-25T18:30:05"/>
    <s v="Clinton St &amp; Madison St"/>
    <s v="TA1305000032"/>
    <s v="State St &amp; 33rd St"/>
    <n v="21213"/>
    <n v="41.882418000000001"/>
    <n v="-87.641057000000004"/>
    <n v="41.835095000000003"/>
    <n v="-87.625446999999994"/>
    <x v="0"/>
    <d v="1899-12-30T00:05:53"/>
    <x v="4"/>
    <x v="4"/>
  </r>
  <r>
    <s v="030C7A1604101D3C"/>
    <x v="0"/>
    <d v="2023-02-27T16:40:47"/>
    <d v="2023-02-27T16:51:27"/>
    <s v="Clinton St &amp; Madison St"/>
    <s v="TA1305000032"/>
    <s v="Millennium Park"/>
    <n v="13008"/>
    <n v="41.881833"/>
    <n v="-87.641008999999997"/>
    <n v="41.881424000000003"/>
    <n v="-87.624296999999999"/>
    <x v="0"/>
    <d v="1899-12-30T00:10:40"/>
    <x v="5"/>
    <x v="5"/>
  </r>
  <r>
    <s v="04A88A9D02AC3554"/>
    <x v="0"/>
    <d v="2023-02-27T19:36:30"/>
    <d v="2023-02-27T19:47:09"/>
    <s v="Theater on the Lake"/>
    <s v="TA1308000001"/>
    <s v="Michigan Ave &amp; Oak St"/>
    <n v="13042"/>
    <n v="41.926561"/>
    <n v="-87.631322999999995"/>
    <n v="41.901221999999997"/>
    <n v="-87.623384000000001"/>
    <x v="0"/>
    <d v="1899-12-30T00:10:39"/>
    <x v="5"/>
    <x v="5"/>
  </r>
  <r>
    <s v="05504446032908C9"/>
    <x v="0"/>
    <d v="2023-03-01T13:34:29"/>
    <d v="2023-03-01T14:13:50"/>
    <s v="Millennium Park"/>
    <n v="13008"/>
    <s v="Millennium Park"/>
    <n v="13008"/>
    <n v="41.881303000000003"/>
    <n v="-87.623637000000002"/>
    <n v="41.880698000000002"/>
    <n v="-87.623812999999998"/>
    <x v="1"/>
    <d v="1899-12-30T00:39:21"/>
    <x v="1"/>
    <x v="1"/>
  </r>
  <r>
    <s v="02E8F6C803284FB3"/>
    <x v="0"/>
    <d v="2023-03-01T21:10:38"/>
    <d v="2023-03-01T22:47:16"/>
    <s v="Clark St &amp; Elm St"/>
    <s v="TA1307000024"/>
    <s v="Columbus Dr &amp; Randolph St"/>
    <n v="13263"/>
    <n v="41.902847000000001"/>
    <n v="-87.630893999999998"/>
    <n v="41.884379000000003"/>
    <n v="-87.619868999999994"/>
    <x v="1"/>
    <d v="1899-12-30T01:36:38"/>
    <x v="1"/>
    <x v="1"/>
  </r>
  <r>
    <s v="045946A7022FCEBA"/>
    <x v="2"/>
    <d v="2023-03-01T22:02:57"/>
    <d v="2023-03-01T22:12:28"/>
    <s v="State St &amp; 33rd St"/>
    <n v="21213"/>
    <s v="DuSable Harbor"/>
    <s v="KA1503000064"/>
    <n v="41.834896000000001"/>
    <n v="-87.625828999999996"/>
    <n v="41.886481000000003"/>
    <n v="-87.612509000000003"/>
    <x v="0"/>
    <d v="1899-12-30T00:09:31"/>
    <x v="1"/>
    <x v="1"/>
  </r>
  <r>
    <s v="020A89DA05EC6CC3"/>
    <x v="0"/>
    <d v="2023-03-02T03:50:09"/>
    <d v="2023-03-02T04:35:27"/>
    <s v="Millennium Park"/>
    <n v="13008"/>
    <s v="Millennium Park"/>
    <n v="13008"/>
    <n v="41.880955999999998"/>
    <n v="-87.624431000000001"/>
    <n v="41.880766999999999"/>
    <n v="-87.623715000000004"/>
    <x v="1"/>
    <d v="1899-12-30T00:45:18"/>
    <x v="2"/>
    <x v="2"/>
  </r>
  <r>
    <s v="05D3C23105E30025"/>
    <x v="0"/>
    <d v="2023-03-03T03:05:20"/>
    <d v="2023-03-03T03:48:25"/>
    <s v="Theater on the Lake"/>
    <s v="TA1308000001"/>
    <s v="Columbus Dr &amp; Randolph St"/>
    <n v="13263"/>
    <n v="41.926237"/>
    <n v="-87.630786999999998"/>
    <n v="41.884661000000001"/>
    <n v="-87.619977000000006"/>
    <x v="0"/>
    <d v="1899-12-30T00:43:05"/>
    <x v="3"/>
    <x v="3"/>
  </r>
  <r>
    <s v="03B02E7C0589C0D5"/>
    <x v="1"/>
    <d v="2023-03-03T14:44:53"/>
    <d v="2023-03-03T15:07:13"/>
    <s v="Dearborn St &amp; Erie St"/>
    <n v="13045"/>
    <s v="Broadway &amp; Barry Ave"/>
    <n v="13137"/>
    <n v="41.894027000000001"/>
    <n v="-87.629603000000003"/>
    <n v="41.937094000000002"/>
    <n v="-87.644356999999999"/>
    <x v="0"/>
    <d v="1899-12-30T00:22:20"/>
    <x v="3"/>
    <x v="3"/>
  </r>
  <r>
    <s v="02FC19D903FEA996"/>
    <x v="2"/>
    <d v="2023-03-03T16:24:46"/>
    <d v="2023-03-03T16:54:48"/>
    <s v="Columbus Dr &amp; Randolph St"/>
    <n v="13263"/>
    <s v="Columbus Dr &amp; Randolph St"/>
    <n v="13263"/>
    <n v="41.884498000000001"/>
    <n v="-87.619829999999993"/>
    <n v="41.884923000000001"/>
    <n v="-87.619802000000007"/>
    <x v="1"/>
    <d v="1899-12-30T00:30:02"/>
    <x v="3"/>
    <x v="3"/>
  </r>
  <r>
    <s v="00B7FA9C017B1102"/>
    <x v="0"/>
    <d v="2023-03-03T16:34:45"/>
    <d v="2023-03-03T16:47:35"/>
    <s v="Clinton St &amp; Madison St"/>
    <s v="TA1305000032"/>
    <s v="Michigan Ave &amp; Oak St"/>
    <n v="13042"/>
    <n v="41.882562999999998"/>
    <n v="-87.641284999999996"/>
    <n v="41.900530000000003"/>
    <n v="-87.624219999999994"/>
    <x v="0"/>
    <d v="1899-12-30T00:12:50"/>
    <x v="3"/>
    <x v="3"/>
  </r>
  <r>
    <s v="0560E50801528A20"/>
    <x v="0"/>
    <d v="2023-03-03T19:36:28"/>
    <d v="2023-03-03T20:06:41"/>
    <s v="Wells St &amp; Elm St"/>
    <s v="KA1504000135"/>
    <s v="Broadway &amp; Barry Ave"/>
    <n v="13137"/>
    <n v="41.903512999999997"/>
    <n v="-87.634142999999995"/>
    <n v="41.937381999999999"/>
    <n v="-87.644139999999993"/>
    <x v="1"/>
    <d v="1899-12-30T00:30:13"/>
    <x v="3"/>
    <x v="3"/>
  </r>
  <r>
    <s v="051CFCBC03373DFA"/>
    <x v="0"/>
    <d v="2023-03-04T03:28:23"/>
    <d v="2023-03-04T04:28:57"/>
    <s v="Theater on the Lake"/>
    <s v="TA1308000001"/>
    <s v="Clinton St &amp; Madison St"/>
    <s v="TA1305000032"/>
    <n v="41.926313999999998"/>
    <n v="-87.630741"/>
    <n v="41.882322000000002"/>
    <n v="-87.641475"/>
    <x v="1"/>
    <d v="1899-12-30T01:00:34"/>
    <x v="4"/>
    <x v="4"/>
  </r>
  <r>
    <s v="0353474604AD3320"/>
    <x v="2"/>
    <d v="2023-03-05T00:02:51"/>
    <d v="2023-03-05T00:16:16"/>
    <s v="State St &amp; 33rd St"/>
    <n v="21213"/>
    <s v="Canal St &amp; Adams St"/>
    <n v="13011"/>
    <n v="41.834708999999997"/>
    <n v="-87.625415000000004"/>
    <n v="41.879280000000001"/>
    <n v="-87.639696999999998"/>
    <x v="0"/>
    <d v="1899-12-30T00:13:25"/>
    <x v="0"/>
    <x v="0"/>
  </r>
  <r>
    <s v="051D5CD403593355"/>
    <x v="1"/>
    <d v="2023-03-05T12:17:11"/>
    <d v="2023-03-05T12:21:28"/>
    <s v="Theater on the Lake"/>
    <s v="TA1308000001"/>
    <s v="Streeter Dr &amp; Grand Ave"/>
    <n v="13022"/>
    <n v="41.925787"/>
    <n v="-87.630476000000002"/>
    <n v="41.892508999999997"/>
    <n v="-87.611596000000006"/>
    <x v="0"/>
    <d v="1899-12-30T00:04:17"/>
    <x v="0"/>
    <x v="0"/>
  </r>
  <r>
    <s v="02CA9A3200A4CFE5"/>
    <x v="0"/>
    <d v="2023-03-06T05:09:51"/>
    <d v="2023-03-06T05:28:13"/>
    <s v="Wells St &amp; Elm St"/>
    <s v="KA1504000135"/>
    <s v="Theater on the Lake"/>
    <s v="TA1308000001"/>
    <n v="41.902856999999997"/>
    <n v="-87.634625999999997"/>
    <n v="41.925958000000001"/>
    <n v="-87.631072000000003"/>
    <x v="1"/>
    <d v="1899-12-30T00:18:22"/>
    <x v="5"/>
    <x v="5"/>
  </r>
  <r>
    <s v="02D805CF0231348D"/>
    <x v="0"/>
    <d v="2023-03-07T22:18:01"/>
    <d v="2023-03-07T22:25:14"/>
    <s v="Millennium Park"/>
    <n v="13008"/>
    <s v="Dearborn St &amp; Erie St"/>
    <n v="13045"/>
    <n v="41.881354000000002"/>
    <n v="-87.624450999999993"/>
    <n v="41.894354"/>
    <n v="-87.628895"/>
    <x v="0"/>
    <d v="1899-12-30T00:07:13"/>
    <x v="6"/>
    <x v="6"/>
  </r>
  <r>
    <s v="039E5BB5027706E1"/>
    <x v="0"/>
    <d v="2023-03-11T06:15:32"/>
    <d v="2023-03-11T06:29:18"/>
    <s v="Millennium Park"/>
    <n v="13008"/>
    <s v="Millennium Park"/>
    <n v="13008"/>
    <n v="41.881374000000001"/>
    <n v="-87.623738000000003"/>
    <n v="41.881487"/>
    <n v="-87.624429000000006"/>
    <x v="1"/>
    <d v="1899-12-30T00:13:46"/>
    <x v="4"/>
    <x v="4"/>
  </r>
  <r>
    <s v="058247E0011BB523"/>
    <x v="0"/>
    <d v="2023-03-11T15:04:38"/>
    <d v="2023-03-11T15:09:26"/>
    <s v="Canal St &amp; Adams St"/>
    <n v="13011"/>
    <s v="Canal St &amp; Adams St"/>
    <n v="13011"/>
    <n v="41.879555000000003"/>
    <n v="-87.640169999999998"/>
    <n v="41.879294999999999"/>
    <n v="-87.639523999999994"/>
    <x v="0"/>
    <d v="1899-12-30T00:04:48"/>
    <x v="4"/>
    <x v="4"/>
  </r>
  <r>
    <s v="00A158390575BDD9"/>
    <x v="1"/>
    <d v="2023-03-12T01:47:07"/>
    <d v="2023-03-12T02:10:25"/>
    <s v="Clark St &amp; Elm St"/>
    <s v="TA1307000024"/>
    <s v="Columbus Dr &amp; Randolph St"/>
    <n v="13263"/>
    <n v="41.903409000000003"/>
    <n v="-87.631107999999998"/>
    <n v="41.884709000000001"/>
    <n v="-87.619211000000007"/>
    <x v="0"/>
    <d v="1899-12-30T00:23:18"/>
    <x v="0"/>
    <x v="0"/>
  </r>
  <r>
    <s v="0138F27C02BF8D75"/>
    <x v="2"/>
    <d v="2023-03-13T13:08:09"/>
    <d v="2023-03-13T13:18:57"/>
    <s v="State St &amp; 33rd St"/>
    <n v="21213"/>
    <s v="Dearborn St &amp; Erie St"/>
    <n v="13045"/>
    <n v="41.835099"/>
    <n v="-87.625711999999993"/>
    <n v="41.894193000000001"/>
    <n v="-87.629532999999995"/>
    <x v="0"/>
    <d v="1899-12-30T00:10:48"/>
    <x v="5"/>
    <x v="5"/>
  </r>
  <r>
    <s v="0563FB88054C1D8E"/>
    <x v="0"/>
    <d v="2023-03-14T04:13:11"/>
    <d v="2023-03-14T04:30:50"/>
    <s v="Dearborn St &amp; Erie St"/>
    <n v="13045"/>
    <s v="State St &amp; 33rd St"/>
    <n v="21213"/>
    <n v="41.894060000000003"/>
    <n v="-87.629165999999998"/>
    <n v="41.834445000000002"/>
    <n v="-87.625756999999993"/>
    <x v="1"/>
    <d v="1899-12-30T00:17:39"/>
    <x v="6"/>
    <x v="6"/>
  </r>
  <r>
    <s v="016730CC015F7D6D"/>
    <x v="0"/>
    <d v="2023-03-14T23:28:31"/>
    <d v="2023-03-14T23:40:47"/>
    <s v="Michigan Ave &amp; Oak St"/>
    <n v="13042"/>
    <s v="Michigan Ave &amp; Oak St"/>
    <n v="13042"/>
    <n v="41.901065000000003"/>
    <n v="-87.623749000000004"/>
    <n v="41.901017000000003"/>
    <n v="-87.623299000000003"/>
    <x v="0"/>
    <d v="1899-12-30T00:12:16"/>
    <x v="6"/>
    <x v="6"/>
  </r>
  <r>
    <s v="05305CFD00D08FB8"/>
    <x v="0"/>
    <d v="2023-03-15T03:24:05"/>
    <d v="2023-03-15T03:39:56"/>
    <s v="Clark St &amp; Elm St"/>
    <s v="TA1307000024"/>
    <s v="Kingsbury St &amp; Kinzie St"/>
    <s v="KA1503000043"/>
    <n v="41.903238000000002"/>
    <n v="-87.631108999999995"/>
    <n v="41.889111999999997"/>
    <n v="-87.638457000000002"/>
    <x v="1"/>
    <d v="1899-12-30T00:15:51"/>
    <x v="1"/>
    <x v="1"/>
  </r>
  <r>
    <s v="0101235B015FA641"/>
    <x v="1"/>
    <d v="2023-03-15T03:44:40"/>
    <d v="2023-03-15T04:48:52"/>
    <s v="Wells St &amp; Elm St"/>
    <s v="KA1504000135"/>
    <s v="Wells St &amp; Elm St"/>
    <s v="KA1504000135"/>
    <n v="41.903010999999999"/>
    <n v="-87.634715"/>
    <n v="41.903373000000002"/>
    <n v="-87.634058999999993"/>
    <x v="0"/>
    <d v="1899-12-30T01:04:12"/>
    <x v="1"/>
    <x v="1"/>
  </r>
  <r>
    <s v="01FBCB310182B144"/>
    <x v="1"/>
    <d v="2023-03-15T08:07:23"/>
    <d v="2023-03-15T08:17:03"/>
    <s v="Millennium Park"/>
    <n v="13008"/>
    <s v="Broadway &amp; Barry Ave"/>
    <n v="13137"/>
    <n v="41.881329999999998"/>
    <n v="-87.624188000000004"/>
    <n v="41.937997000000003"/>
    <n v="-87.644064999999998"/>
    <x v="0"/>
    <d v="1899-12-30T00:09:40"/>
    <x v="1"/>
    <x v="1"/>
  </r>
  <r>
    <s v="04B79A9000FBA0FE"/>
    <x v="2"/>
    <d v="2023-03-17T11:50:11"/>
    <d v="2023-03-17T11:56:56"/>
    <s v="Theater on the Lake"/>
    <s v="TA1308000001"/>
    <s v="Clark St &amp; Elm St"/>
    <s v="TA1307000024"/>
    <n v="41.926065999999999"/>
    <n v="-87.630381999999997"/>
    <n v="41.902523000000002"/>
    <n v="-87.631630000000001"/>
    <x v="0"/>
    <d v="1899-12-30T00:06:45"/>
    <x v="3"/>
    <x v="3"/>
  </r>
  <r>
    <s v="0514841D054CF499"/>
    <x v="2"/>
    <d v="2023-03-18T00:26:07"/>
    <d v="2023-03-18T00:49:10"/>
    <s v="Streeter Dr &amp; Grand Ave"/>
    <n v="13022"/>
    <s v="Kingsbury St &amp; Kinzie St"/>
    <s v="KA1503000043"/>
    <n v="41.892437000000001"/>
    <n v="-87.612149000000002"/>
    <n v="41.889327999999999"/>
    <n v="-87.638898999999995"/>
    <x v="0"/>
    <d v="1899-12-30T00:23:03"/>
    <x v="4"/>
    <x v="4"/>
  </r>
  <r>
    <s v="059817950470FE39"/>
    <x v="0"/>
    <d v="2023-03-18T18:48:41"/>
    <d v="2023-03-18T19:10:44"/>
    <s v="Michigan Ave &amp; Oak St"/>
    <n v="13042"/>
    <s v="Michigan Ave &amp; Oak St"/>
    <n v="13042"/>
    <n v="41.900812000000002"/>
    <n v="-87.623514999999998"/>
    <n v="41.900967000000001"/>
    <n v="-87.623638999999997"/>
    <x v="1"/>
    <d v="1899-12-30T00:22:03"/>
    <x v="4"/>
    <x v="4"/>
  </r>
  <r>
    <s v="02926DCE01787321"/>
    <x v="0"/>
    <d v="2023-03-20T01:19:06"/>
    <d v="2023-03-20T01:33:07"/>
    <s v="Dearborn St &amp; Erie St"/>
    <n v="13045"/>
    <s v="Dearborn St &amp; Erie St"/>
    <n v="13045"/>
    <n v="41.893939000000003"/>
    <n v="-87.628988000000007"/>
    <n v="41.894146999999997"/>
    <n v="-87.629407"/>
    <x v="0"/>
    <d v="1899-12-30T00:14:01"/>
    <x v="5"/>
    <x v="5"/>
  </r>
  <r>
    <s v="01F697AE052696B7"/>
    <x v="0"/>
    <d v="2023-03-20T04:39:01"/>
    <d v="2023-03-20T04:59:14"/>
    <s v="State St &amp; 33rd St"/>
    <n v="21213"/>
    <s v="Wells St &amp; Concord Ln"/>
    <s v="TA1308000070"/>
    <n v="41.834921000000001"/>
    <n v="-87.625468999999995"/>
    <n v="41.912382999999998"/>
    <n v="-87.635126"/>
    <x v="0"/>
    <d v="1899-12-30T00:20:13"/>
    <x v="5"/>
    <x v="5"/>
  </r>
  <r>
    <s v="01C6BA7F03E29651"/>
    <x v="0"/>
    <d v="2023-03-20T15:12:32"/>
    <d v="2023-03-20T15:58:48"/>
    <s v="Wells St &amp; Concord Ln"/>
    <s v="TA1308000070"/>
    <s v="Streeter Dr &amp; Grand Ave"/>
    <n v="13022"/>
    <n v="41.911991999999998"/>
    <n v="-87.634626999999995"/>
    <n v="41.892361999999999"/>
    <n v="-87.611745999999997"/>
    <x v="1"/>
    <d v="1899-12-30T00:46:16"/>
    <x v="5"/>
    <x v="5"/>
  </r>
  <r>
    <s v="00DEA30305C381D1"/>
    <x v="2"/>
    <d v="2023-03-22T13:29:33"/>
    <d v="2023-03-22T13:40:23"/>
    <s v="State St &amp; 33rd St"/>
    <n v="21213"/>
    <s v="Kingsbury St &amp; Kinzie St"/>
    <s v="KA1503000043"/>
    <n v="41.834482999999999"/>
    <n v="-87.625905000000003"/>
    <n v="41.888956999999998"/>
    <n v="-87.638869999999997"/>
    <x v="1"/>
    <d v="1899-12-30T00:10:50"/>
    <x v="1"/>
    <x v="1"/>
  </r>
  <r>
    <s v="01AA63CE01A2F95B"/>
    <x v="0"/>
    <d v="2023-03-23T21:53:12"/>
    <d v="2023-03-23T22:38:26"/>
    <s v="Millennium Park"/>
    <n v="13008"/>
    <s v="State St &amp; 33rd St"/>
    <n v="21213"/>
    <n v="41.880575"/>
    <n v="-87.624138000000002"/>
    <n v="41.834304000000003"/>
    <n v="-87.625584000000003"/>
    <x v="1"/>
    <d v="1899-12-30T00:45:14"/>
    <x v="2"/>
    <x v="2"/>
  </r>
  <r>
    <s v="04C1F8FC031C77B9"/>
    <x v="2"/>
    <d v="2023-03-24T01:05:11"/>
    <d v="2023-03-24T01:37:30"/>
    <s v="Wells St &amp; Concord Ln"/>
    <s v="TA1308000070"/>
    <s v="Millennium Park"/>
    <n v="13008"/>
    <n v="41.912272999999999"/>
    <n v="-87.634842000000006"/>
    <n v="41.881489999999999"/>
    <n v="-87.624550999999997"/>
    <x v="1"/>
    <d v="1899-12-30T00:32:19"/>
    <x v="3"/>
    <x v="3"/>
  </r>
  <r>
    <s v="027BA4B40274C124"/>
    <x v="2"/>
    <d v="2023-03-27T02:21:08"/>
    <d v="2023-03-27T02:26:58"/>
    <s v="Clinton St &amp; Madison St"/>
    <s v="TA1305000032"/>
    <s v="Columbus Dr &amp; Randolph St"/>
    <n v="13263"/>
    <n v="41.882620000000003"/>
    <n v="-87.640809000000004"/>
    <n v="41.884275000000002"/>
    <n v="-87.619752000000005"/>
    <x v="0"/>
    <d v="1899-12-30T00:05:50"/>
    <x v="5"/>
    <x v="5"/>
  </r>
  <r>
    <s v="037C71DC04037F76"/>
    <x v="0"/>
    <d v="2023-03-27T19:36:28"/>
    <d v="2023-03-27T19:41:32"/>
    <s v="Kingsbury St &amp; Kinzie St"/>
    <s v="KA1503000043"/>
    <s v="Kingsbury St &amp; Kinzie St"/>
    <s v="KA1503000043"/>
    <n v="41.889532000000003"/>
    <n v="-87.638301999999996"/>
    <n v="41.889150999999998"/>
    <n v="-87.638908000000001"/>
    <x v="0"/>
    <d v="1899-12-30T00:05:04"/>
    <x v="5"/>
    <x v="5"/>
  </r>
  <r>
    <s v="012B5A5B02C68D87"/>
    <x v="2"/>
    <d v="2023-03-28T03:10:54"/>
    <d v="2023-03-28T03:24:42"/>
    <s v="Columbus Dr &amp; Randolph St"/>
    <n v="13263"/>
    <s v="State St &amp; 33rd St"/>
    <n v="21213"/>
    <n v="41.885223000000003"/>
    <n v="-87.619164999999995"/>
    <n v="41.834755000000001"/>
    <n v="-87.626249000000001"/>
    <x v="0"/>
    <d v="1899-12-30T00:13:48"/>
    <x v="6"/>
    <x v="6"/>
  </r>
  <r>
    <s v="03B990400212EED6"/>
    <x v="2"/>
    <d v="2023-03-28T08:42:00"/>
    <d v="2023-03-28T08:46:23"/>
    <s v="Michigan Ave &amp; Oak St"/>
    <n v="13042"/>
    <s v="Michigan Ave &amp; Oak St"/>
    <n v="13042"/>
    <n v="41.901417000000002"/>
    <n v="-87.623538999999994"/>
    <n v="41.900812999999999"/>
    <n v="-87.623980000000003"/>
    <x v="0"/>
    <d v="1899-12-30T00:04:23"/>
    <x v="6"/>
    <x v="6"/>
  </r>
  <r>
    <s v="030CDFDE03EDC831"/>
    <x v="2"/>
    <d v="2023-03-28T11:02:47"/>
    <d v="2023-03-28T11:16:11"/>
    <s v="DuSable Harbor"/>
    <s v="KA1503000064"/>
    <s v="DuSable Harbor"/>
    <s v="KA1503000064"/>
    <n v="41.886817999999998"/>
    <n v="-87.612882999999997"/>
    <n v="41.887307"/>
    <n v="-87.613192999999995"/>
    <x v="1"/>
    <d v="1899-12-30T00:13:24"/>
    <x v="6"/>
    <x v="6"/>
  </r>
  <r>
    <s v="04AC8C8602515D5A"/>
    <x v="0"/>
    <d v="2023-03-29T03:06:10"/>
    <d v="2023-03-29T03:23:42"/>
    <s v="DuSable Harbor"/>
    <s v="KA1503000064"/>
    <s v="Clark St &amp; Elm St"/>
    <s v="TA1307000024"/>
    <n v="41.886986999999998"/>
    <n v="-87.612708999999995"/>
    <n v="41.902934000000002"/>
    <n v="-87.630950999999996"/>
    <x v="0"/>
    <d v="1899-12-30T00:17:32"/>
    <x v="1"/>
    <x v="1"/>
  </r>
  <r>
    <s v="0251909C0272684E"/>
    <x v="0"/>
    <d v="2023-03-30T01:47:12"/>
    <d v="2023-03-30T02:05:48"/>
    <s v="Clinton St &amp; Madison St"/>
    <s v="TA1305000032"/>
    <s v="Michigan Ave &amp; Oak St"/>
    <n v="13042"/>
    <n v="41.882040000000003"/>
    <n v="-87.641001000000003"/>
    <n v="41.901148999999997"/>
    <n v="-87.623403999999994"/>
    <x v="1"/>
    <d v="1899-12-30T00:18:36"/>
    <x v="2"/>
    <x v="2"/>
  </r>
  <r>
    <s v="01E34023019004F1"/>
    <x v="2"/>
    <d v="2023-04-02T09:02:21"/>
    <d v="2023-04-02T09:45:18"/>
    <s v="Wells St &amp; Elm St"/>
    <s v="KA1504000135"/>
    <s v="Theater on the Lake"/>
    <s v="TA1308000001"/>
    <n v="41.903224999999999"/>
    <n v="-87.634767999999994"/>
    <n v="41.926268"/>
    <n v="-87.630407000000005"/>
    <x v="1"/>
    <d v="1899-12-30T00:42:57"/>
    <x v="0"/>
    <x v="0"/>
  </r>
  <r>
    <s v="057C98960295FD34"/>
    <x v="0"/>
    <d v="2023-04-03T16:48:25"/>
    <d v="2023-04-03T16:55:45"/>
    <s v="Wells St &amp; Elm St"/>
    <s v="KA1504000135"/>
    <s v="Broadway &amp; Barry Ave"/>
    <n v="13137"/>
    <n v="41.903651000000004"/>
    <n v="-87.634084999999999"/>
    <n v="41.937387999999999"/>
    <n v="-87.644333000000003"/>
    <x v="1"/>
    <d v="1899-12-30T00:07:20"/>
    <x v="5"/>
    <x v="5"/>
  </r>
  <r>
    <s v="050B1BA7019C4F25"/>
    <x v="0"/>
    <d v="2023-04-04T08:12:12"/>
    <d v="2023-04-04T08:27:00"/>
    <s v="Theater on the Lake"/>
    <s v="TA1308000001"/>
    <s v="Theater on the Lake"/>
    <s v="TA1308000001"/>
    <n v="41.926360000000003"/>
    <n v="-87.630741"/>
    <n v="41.926132000000003"/>
    <n v="-87.631281999999999"/>
    <x v="0"/>
    <d v="1899-12-30T00:14:48"/>
    <x v="6"/>
    <x v="6"/>
  </r>
  <r>
    <s v="0358A4AA01B1E630"/>
    <x v="1"/>
    <d v="2023-04-05T12:21:56"/>
    <d v="2023-04-05T12:52:53"/>
    <s v="State St &amp; 33rd St"/>
    <n v="21213"/>
    <s v="Kingsbury St &amp; Kinzie St"/>
    <s v="KA1503000043"/>
    <n v="41.834291"/>
    <n v="-87.625382000000002"/>
    <n v="41.888728"/>
    <n v="-87.638458999999997"/>
    <x v="0"/>
    <d v="1899-12-30T00:30:57"/>
    <x v="1"/>
    <x v="1"/>
  </r>
  <r>
    <s v="01BA020E0151CE17"/>
    <x v="2"/>
    <d v="2023-04-05T13:17:59"/>
    <d v="2023-04-05T14:44:12"/>
    <s v="Clark St &amp; Elm St"/>
    <s v="TA1307000024"/>
    <s v="Wells St &amp; Elm St"/>
    <s v="KA1504000135"/>
    <n v="41.902678000000002"/>
    <n v="-87.631400999999997"/>
    <n v="41.903647999999997"/>
    <n v="-87.634101999999999"/>
    <x v="1"/>
    <d v="1899-12-30T01:26:13"/>
    <x v="1"/>
    <x v="1"/>
  </r>
  <r>
    <s v="0153471C04353F7A"/>
    <x v="0"/>
    <d v="2023-04-07T16:32:23"/>
    <d v="2023-04-07T16:46:40"/>
    <s v="State St &amp; 33rd St"/>
    <n v="21213"/>
    <s v="Streeter Dr &amp; Grand Ave"/>
    <n v="13022"/>
    <n v="41.834952999999999"/>
    <n v="-87.626202000000006"/>
    <n v="41.891813999999997"/>
    <n v="-87.611548999999997"/>
    <x v="1"/>
    <d v="1899-12-30T00:14:17"/>
    <x v="3"/>
    <x v="3"/>
  </r>
  <r>
    <s v="033A4738055222C4"/>
    <x v="0"/>
    <d v="2023-04-07T22:07:22"/>
    <d v="2023-04-07T22:36:37"/>
    <s v="Columbus Dr &amp; Randolph St"/>
    <n v="13263"/>
    <s v="Michigan Ave &amp; Oak St"/>
    <n v="13042"/>
    <n v="41.884855999999999"/>
    <n v="-87.619828999999996"/>
    <n v="41.900606000000003"/>
    <n v="-87.623339000000001"/>
    <x v="1"/>
    <d v="1899-12-30T00:29:15"/>
    <x v="3"/>
    <x v="3"/>
  </r>
  <r>
    <s v="00E4E5D504DCB1BA"/>
    <x v="2"/>
    <d v="2023-04-08T09:44:34"/>
    <d v="2023-04-08T09:53:54"/>
    <s v="Wells St &amp; Concord Ln"/>
    <s v="TA1308000070"/>
    <s v="Streeter Dr &amp; Grand Ave"/>
    <n v="13022"/>
    <n v="41.912166999999997"/>
    <n v="-87.634405999999998"/>
    <n v="41.892690999999999"/>
    <n v="-87.611958000000001"/>
    <x v="1"/>
    <d v="1899-12-30T00:09:20"/>
    <x v="4"/>
    <x v="4"/>
  </r>
  <r>
    <s v="02A1836E00AE43EE"/>
    <x v="1"/>
    <d v="2023-04-08T19:28:59"/>
    <d v="2023-04-08T19:38:55"/>
    <s v="Kingsbury St &amp; Kinzie St"/>
    <s v="KA1503000043"/>
    <s v="State St &amp; 33rd St"/>
    <n v="21213"/>
    <n v="41.889133999999999"/>
    <n v="-87.638531"/>
    <n v="41.834620000000001"/>
    <n v="-87.625345999999993"/>
    <x v="0"/>
    <d v="1899-12-30T00:09:56"/>
    <x v="4"/>
    <x v="4"/>
  </r>
  <r>
    <s v="02553C04050E550C"/>
    <x v="0"/>
    <d v="2023-04-09T08:46:38"/>
    <d v="2023-04-09T09:06:09"/>
    <s v="Michigan Ave &amp; Oak St"/>
    <n v="13042"/>
    <s v="Wells St &amp; Concord Ln"/>
    <s v="TA1308000070"/>
    <n v="41.900739999999999"/>
    <n v="-87.623711999999998"/>
    <n v="41.911721"/>
    <n v="-87.634742000000003"/>
    <x v="0"/>
    <d v="1899-12-30T00:19:31"/>
    <x v="0"/>
    <x v="0"/>
  </r>
  <r>
    <s v="02866AB704B80C4E"/>
    <x v="1"/>
    <d v="2023-04-09T10:28:08"/>
    <d v="2023-04-09T10:50:53"/>
    <s v="Michigan Ave &amp; Oak St"/>
    <n v="13042"/>
    <s v="Michigan Ave &amp; Oak St"/>
    <n v="13042"/>
    <n v="41.901152000000003"/>
    <n v="-87.623659000000004"/>
    <n v="41.901093000000003"/>
    <n v="-87.624048000000002"/>
    <x v="0"/>
    <d v="1899-12-30T00:22:45"/>
    <x v="0"/>
    <x v="0"/>
  </r>
  <r>
    <s v="00E830AD0242AA02"/>
    <x v="0"/>
    <d v="2023-04-10T09:17:15"/>
    <d v="2023-04-10T09:31:58"/>
    <s v="Clinton St &amp; Madison St"/>
    <s v="TA1305000032"/>
    <s v="Clinton St &amp; Madison St"/>
    <s v="TA1305000032"/>
    <n v="41.882638999999998"/>
    <n v="-87.641446999999999"/>
    <n v="41.882069999999999"/>
    <n v="-87.640749999999997"/>
    <x v="1"/>
    <d v="1899-12-30T00:14:43"/>
    <x v="5"/>
    <x v="5"/>
  </r>
  <r>
    <s v="019961E202BE4B6A"/>
    <x v="1"/>
    <d v="2023-04-11T00:29:22"/>
    <d v="2023-04-11T00:37:36"/>
    <s v="Kingsbury St &amp; Kinzie St"/>
    <s v="KA1503000043"/>
    <s v="Clark St &amp; Elm St"/>
    <s v="TA1307000024"/>
    <n v="41.889432999999997"/>
    <n v="-87.638465999999994"/>
    <n v="41.902549999999998"/>
    <n v="-87.631761999999995"/>
    <x v="1"/>
    <d v="1899-12-30T00:08:14"/>
    <x v="6"/>
    <x v="6"/>
  </r>
  <r>
    <s v="017032DE03A6FF61"/>
    <x v="2"/>
    <d v="2023-04-11T01:15:44"/>
    <d v="2023-04-11T01:23:58"/>
    <s v="Wells St &amp; Concord Ln"/>
    <s v="TA1308000070"/>
    <s v="Wells St &amp; Concord Ln"/>
    <s v="TA1308000070"/>
    <n v="41.911743000000001"/>
    <n v="-87.634765999999999"/>
    <n v="41.911873999999997"/>
    <n v="-87.635140000000007"/>
    <x v="0"/>
    <d v="1899-12-30T00:08:14"/>
    <x v="6"/>
    <x v="6"/>
  </r>
  <r>
    <s v="03F5DC2201E1F815"/>
    <x v="0"/>
    <d v="2023-04-11T12:03:41"/>
    <d v="2023-04-11T12:26:29"/>
    <s v="Dearborn St &amp; Erie St"/>
    <n v="13045"/>
    <s v="Clinton St &amp; Madison St"/>
    <s v="TA1305000032"/>
    <n v="41.893872999999999"/>
    <n v="-87.62894"/>
    <n v="41.88261"/>
    <n v="-87.64076"/>
    <x v="1"/>
    <d v="1899-12-30T00:22:48"/>
    <x v="6"/>
    <x v="6"/>
  </r>
  <r>
    <s v="04C89EEF020155AC"/>
    <x v="0"/>
    <d v="2023-04-11T18:28:27"/>
    <d v="2023-04-11T18:43:07"/>
    <s v="DuSable Harbor"/>
    <s v="KA1503000064"/>
    <s v="DuSable Harbor"/>
    <s v="KA1503000064"/>
    <n v="41.886892000000003"/>
    <n v="-87.612404999999995"/>
    <n v="41.886718999999999"/>
    <n v="-87.613221999999993"/>
    <x v="0"/>
    <d v="1899-12-30T00:14:40"/>
    <x v="6"/>
    <x v="6"/>
  </r>
  <r>
    <s v="017E1B3405A1D8A0"/>
    <x v="0"/>
    <d v="2023-04-11T20:47:50"/>
    <d v="2023-04-11T20:59:46"/>
    <s v="Kingsbury St &amp; Kinzie St"/>
    <s v="KA1503000043"/>
    <s v="Clark St &amp; Elm St"/>
    <s v="TA1307000024"/>
    <n v="41.889076000000003"/>
    <n v="-87.638763999999995"/>
    <n v="41.902676"/>
    <n v="-87.630825000000002"/>
    <x v="1"/>
    <d v="1899-12-30T00:11:56"/>
    <x v="6"/>
    <x v="6"/>
  </r>
  <r>
    <s v="03876EDC02FB02AB"/>
    <x v="0"/>
    <d v="2023-04-12T03:39:41"/>
    <d v="2023-04-12T04:03:01"/>
    <s v="Broadway &amp; Barry Ave"/>
    <n v="13137"/>
    <s v="Broadway &amp; Barry Ave"/>
    <n v="13137"/>
    <n v="41.937930000000001"/>
    <n v="-87.643868999999995"/>
    <n v="41.937176999999998"/>
    <n v="-87.644169000000005"/>
    <x v="0"/>
    <d v="1899-12-30T00:23:20"/>
    <x v="1"/>
    <x v="1"/>
  </r>
  <r>
    <s v="0380280D027D1309"/>
    <x v="0"/>
    <d v="2023-04-12T08:16:11"/>
    <d v="2023-04-12T08:43:34"/>
    <s v="Clinton St &amp; Madison St"/>
    <s v="TA1305000032"/>
    <s v="Millennium Park"/>
    <n v="13008"/>
    <n v="41.881784000000003"/>
    <n v="-87.641167999999993"/>
    <n v="41.881293999999997"/>
    <n v="-87.624128999999996"/>
    <x v="1"/>
    <d v="1899-12-30T00:27:23"/>
    <x v="1"/>
    <x v="1"/>
  </r>
  <r>
    <s v="0342FC9F00C8AE8A"/>
    <x v="2"/>
    <d v="2023-04-13T07:35:10"/>
    <d v="2023-04-13T07:56:33"/>
    <s v="Wells St &amp; Elm St"/>
    <s v="KA1504000135"/>
    <s v="Wells St &amp; Elm St"/>
    <s v="KA1504000135"/>
    <n v="41.903292999999998"/>
    <n v="-87.634805999999998"/>
    <n v="41.903204000000002"/>
    <n v="-87.634613999999999"/>
    <x v="1"/>
    <d v="1899-12-30T00:21:23"/>
    <x v="2"/>
    <x v="2"/>
  </r>
  <r>
    <s v="0260B45A036F1A60"/>
    <x v="2"/>
    <d v="2023-04-13T09:02:46"/>
    <d v="2023-04-13T09:07:22"/>
    <s v="DuSable Harbor"/>
    <s v="KA1503000064"/>
    <s v="Broadway &amp; Barry Ave"/>
    <n v="13137"/>
    <n v="41.886665999999998"/>
    <n v="-87.612945999999994"/>
    <n v="41.937187999999999"/>
    <n v="-87.643969999999996"/>
    <x v="0"/>
    <d v="1899-12-30T00:04:36"/>
    <x v="2"/>
    <x v="2"/>
  </r>
  <r>
    <s v="0184043B02DB0839"/>
    <x v="1"/>
    <d v="2023-04-14T01:16:40"/>
    <d v="2023-04-14T01:25:24"/>
    <s v="Canal St &amp; Adams St"/>
    <n v="13011"/>
    <s v="Dearborn St &amp; Erie St"/>
    <n v="13045"/>
    <n v="41.878911000000002"/>
    <n v="-87.639651999999998"/>
    <n v="41.894060000000003"/>
    <n v="-87.629542999999998"/>
    <x v="1"/>
    <d v="1899-12-30T00:08:44"/>
    <x v="3"/>
    <x v="3"/>
  </r>
  <r>
    <s v="02770B35036592BF"/>
    <x v="2"/>
    <d v="2023-04-14T14:45:21"/>
    <d v="2023-04-14T14:59:37"/>
    <s v="Clinton St &amp; Madison St"/>
    <s v="TA1305000032"/>
    <s v="DuSable Harbor"/>
    <s v="KA1503000064"/>
    <n v="41.881760999999997"/>
    <n v="-87.640787000000003"/>
    <n v="41.887085999999996"/>
    <n v="-87.612612999999996"/>
    <x v="0"/>
    <d v="1899-12-30T00:14:16"/>
    <x v="3"/>
    <x v="3"/>
  </r>
  <r>
    <s v="024E57D90319BFAD"/>
    <x v="2"/>
    <d v="2023-04-14T23:57:17"/>
    <d v="2023-04-15T00:26:03"/>
    <s v="Broadway &amp; Barry Ave"/>
    <n v="13137"/>
    <s v="Canal St &amp; Adams St"/>
    <n v="13011"/>
    <n v="41.937184000000002"/>
    <n v="-87.643679000000006"/>
    <n v="41.879545"/>
    <n v="-87.640381000000005"/>
    <x v="1"/>
    <d v="1899-12-30T00:28:46"/>
    <x v="3"/>
    <x v="3"/>
  </r>
  <r>
    <s v="01155658030DF2C4"/>
    <x v="2"/>
    <d v="2023-04-16T03:48:39"/>
    <d v="2023-04-16T04:00:20"/>
    <s v="Wells St &amp; Elm St"/>
    <s v="KA1504000135"/>
    <s v="Wells St &amp; Elm St"/>
    <s v="KA1504000135"/>
    <n v="41.903275999999998"/>
    <n v="-87.634310999999997"/>
    <n v="41.903002999999998"/>
    <n v="-87.634001999999995"/>
    <x v="0"/>
    <d v="1899-12-30T00:11:41"/>
    <x v="0"/>
    <x v="0"/>
  </r>
  <r>
    <s v="042530EB01A16283"/>
    <x v="2"/>
    <d v="2023-04-17T03:29:14"/>
    <d v="2023-04-17T03:40:45"/>
    <s v="Wells St &amp; Elm St"/>
    <s v="KA1504000135"/>
    <s v="Millennium Park"/>
    <n v="13008"/>
    <n v="41.902937000000001"/>
    <n v="-87.633939999999996"/>
    <n v="41.881090999999998"/>
    <n v="-87.623756"/>
    <x v="0"/>
    <d v="1899-12-30T00:11:31"/>
    <x v="5"/>
    <x v="5"/>
  </r>
  <r>
    <s v="05F45988016C0195"/>
    <x v="2"/>
    <d v="2023-04-17T05:34:14"/>
    <d v="2023-04-17T05:47:52"/>
    <s v="Clinton St &amp; Madison St"/>
    <s v="TA1305000032"/>
    <s v="Wells St &amp; Elm St"/>
    <s v="KA1504000135"/>
    <n v="41.882682000000003"/>
    <n v="-87.641549999999995"/>
    <n v="41.903244999999998"/>
    <n v="-87.634353000000004"/>
    <x v="0"/>
    <d v="1899-12-30T00:13:38"/>
    <x v="5"/>
    <x v="5"/>
  </r>
  <r>
    <s v="059998E60211EB90"/>
    <x v="2"/>
    <d v="2023-04-18T11:07:44"/>
    <d v="2023-04-18T11:12:20"/>
    <s v="State St &amp; 33rd St"/>
    <n v="21213"/>
    <s v="Wells St &amp; Concord Ln"/>
    <s v="TA1308000070"/>
    <n v="41.834637999999998"/>
    <n v="-87.625741000000005"/>
    <n v="41.912436999999997"/>
    <n v="-87.634618000000003"/>
    <x v="0"/>
    <d v="1899-12-30T00:04:36"/>
    <x v="6"/>
    <x v="6"/>
  </r>
  <r>
    <s v="01FAD25502325A18"/>
    <x v="2"/>
    <d v="2023-04-18T22:53:01"/>
    <d v="2023-04-18T22:57:42"/>
    <s v="DuSable Harbor"/>
    <s v="KA1503000064"/>
    <s v="DuSable Harbor"/>
    <s v="KA1503000064"/>
    <n v="41.887351000000002"/>
    <n v="-87.612784000000005"/>
    <n v="41.887414999999997"/>
    <n v="-87.612514000000004"/>
    <x v="0"/>
    <d v="1899-12-30T00:04:41"/>
    <x v="6"/>
    <x v="6"/>
  </r>
  <r>
    <s v="03461A6500F4666C"/>
    <x v="0"/>
    <d v="2023-04-20T04:07:54"/>
    <d v="2023-04-20T04:25:59"/>
    <s v="Michigan Ave &amp; Oak St"/>
    <n v="13042"/>
    <s v="Streeter Dr &amp; Grand Ave"/>
    <n v="13022"/>
    <n v="41.90137"/>
    <n v="-87.624270999999993"/>
    <n v="41.892589000000001"/>
    <n v="-87.611594999999994"/>
    <x v="0"/>
    <d v="1899-12-30T00:18:05"/>
    <x v="2"/>
    <x v="2"/>
  </r>
  <r>
    <s v="04EA520E01FFF9B2"/>
    <x v="0"/>
    <d v="2023-04-22T19:30:36"/>
    <d v="2023-04-22T19:38:58"/>
    <s v="Dearborn St &amp; Erie St"/>
    <n v="13045"/>
    <s v="Canal St &amp; Adams St"/>
    <n v="13011"/>
    <n v="41.894125000000003"/>
    <n v="-87.629114000000001"/>
    <n v="41.878759000000002"/>
    <n v="-87.640236999999999"/>
    <x v="1"/>
    <d v="1899-12-30T00:08:22"/>
    <x v="4"/>
    <x v="4"/>
  </r>
  <r>
    <s v="044325FF01442FAD"/>
    <x v="2"/>
    <d v="2023-04-23T01:16:08"/>
    <d v="2023-04-23T01:29:29"/>
    <s v="Dearborn St &amp; Erie St"/>
    <n v="13045"/>
    <s v="Theater on the Lake"/>
    <s v="TA1308000001"/>
    <n v="41.894325000000002"/>
    <n v="-87.629807"/>
    <n v="41.926527"/>
    <n v="-87.630574999999993"/>
    <x v="0"/>
    <d v="1899-12-30T00:13:21"/>
    <x v="0"/>
    <x v="0"/>
  </r>
  <r>
    <s v="04EA5DE60110335D"/>
    <x v="2"/>
    <d v="2023-04-23T02:02:06"/>
    <d v="2023-04-23T02:11:06"/>
    <s v="Clinton St &amp; Madison St"/>
    <s v="TA1305000032"/>
    <s v="Broadway &amp; Barry Ave"/>
    <n v="13137"/>
    <n v="41.882389000000003"/>
    <n v="-87.640940999999998"/>
    <n v="41.937719999999999"/>
    <n v="-87.644290999999996"/>
    <x v="1"/>
    <d v="1899-12-30T00:09:00"/>
    <x v="0"/>
    <x v="0"/>
  </r>
  <r>
    <s v="05DCAA9B05F15BCC"/>
    <x v="0"/>
    <d v="2023-04-23T06:13:35"/>
    <d v="2023-04-23T06:18:59"/>
    <s v="Dearborn St &amp; Erie St"/>
    <n v="13045"/>
    <s v="Clark St &amp; Elm St"/>
    <s v="TA1307000024"/>
    <n v="41.893633000000001"/>
    <n v="-87.629688000000002"/>
    <n v="41.903115999999997"/>
    <n v="-87.631583000000006"/>
    <x v="0"/>
    <d v="1899-12-30T00:05:24"/>
    <x v="0"/>
    <x v="0"/>
  </r>
  <r>
    <s v="031973BB01869ECB"/>
    <x v="2"/>
    <d v="2023-04-23T12:10:40"/>
    <d v="2023-04-23T12:21:49"/>
    <s v="Michigan Ave &amp; Oak St"/>
    <n v="13042"/>
    <s v="Clark St &amp; Elm St"/>
    <s v="TA1307000024"/>
    <n v="41.900767000000002"/>
    <n v="-87.623731000000006"/>
    <n v="41.902889999999999"/>
    <n v="-87.631619999999998"/>
    <x v="1"/>
    <d v="1899-12-30T00:11:09"/>
    <x v="0"/>
    <x v="0"/>
  </r>
  <r>
    <s v="010F26300348F32B"/>
    <x v="2"/>
    <d v="2023-04-24T09:01:41"/>
    <d v="2023-04-24T09:10:25"/>
    <s v="Dearborn St &amp; Erie St"/>
    <n v="13045"/>
    <s v="Kingsbury St &amp; Kinzie St"/>
    <s v="KA1503000043"/>
    <n v="41.893669000000003"/>
    <n v="-87.629811000000004"/>
    <n v="41.889482000000001"/>
    <n v="-87.638929000000005"/>
    <x v="1"/>
    <d v="1899-12-30T00:08:44"/>
    <x v="5"/>
    <x v="5"/>
  </r>
  <r>
    <s v="04DD2CAD056368AB"/>
    <x v="2"/>
    <d v="2023-04-24T16:10:59"/>
    <d v="2023-04-24T16:26:32"/>
    <s v="Wells St &amp; Elm St"/>
    <s v="KA1504000135"/>
    <s v="Michigan Ave &amp; Oak St"/>
    <n v="13042"/>
    <n v="41.903573999999999"/>
    <n v="-87.633960000000002"/>
    <n v="41.900866999999998"/>
    <n v="-87.623514999999998"/>
    <x v="0"/>
    <d v="1899-12-30T00:15:33"/>
    <x v="5"/>
    <x v="5"/>
  </r>
  <r>
    <s v="049C1E76055C81AC"/>
    <x v="0"/>
    <d v="2023-04-25T02:54:56"/>
    <d v="2023-04-25T03:26:14"/>
    <s v="Michigan Ave &amp; Oak St"/>
    <n v="13042"/>
    <s v="Dearborn St &amp; Erie St"/>
    <n v="13045"/>
    <n v="41.901333999999999"/>
    <n v="-87.623446000000001"/>
    <n v="41.893717000000002"/>
    <n v="-87.629418999999999"/>
    <x v="1"/>
    <d v="1899-12-30T00:31:18"/>
    <x v="6"/>
    <x v="6"/>
  </r>
  <r>
    <s v="0237815703FFB920"/>
    <x v="0"/>
    <d v="2023-04-25T11:39:59"/>
    <d v="2023-04-25T11:44:21"/>
    <s v="Wells St &amp; Elm St"/>
    <s v="KA1504000135"/>
    <s v="Wells St &amp; Elm St"/>
    <s v="KA1504000135"/>
    <n v="41.903289000000001"/>
    <n v="-87.633892000000003"/>
    <n v="41.903388"/>
    <n v="-87.634000999999998"/>
    <x v="0"/>
    <d v="1899-12-30T00:04:22"/>
    <x v="6"/>
    <x v="6"/>
  </r>
  <r>
    <s v="0149DFC3017E21CB"/>
    <x v="2"/>
    <d v="2023-04-25T20:34:35"/>
    <d v="2023-04-25T20:48:17"/>
    <s v="State St &amp; 33rd St"/>
    <n v="21213"/>
    <s v="State St &amp; 33rd St"/>
    <n v="21213"/>
    <n v="41.835192999999997"/>
    <n v="-87.625969999999995"/>
    <n v="41.834460999999997"/>
    <n v="-87.625889000000001"/>
    <x v="0"/>
    <d v="1899-12-30T00:13:42"/>
    <x v="6"/>
    <x v="6"/>
  </r>
  <r>
    <s v="052AE94F023DFB8C"/>
    <x v="2"/>
    <d v="2023-04-26T12:19:10"/>
    <d v="2023-04-26T13:29:16"/>
    <s v="Columbus Dr &amp; Randolph St"/>
    <n v="13263"/>
    <s v="Canal St &amp; Adams St"/>
    <n v="13011"/>
    <n v="41.885162999999999"/>
    <n v="-87.619770000000003"/>
    <n v="41.878875000000001"/>
    <n v="-87.639819000000003"/>
    <x v="1"/>
    <d v="1899-12-30T01:10:06"/>
    <x v="1"/>
    <x v="1"/>
  </r>
  <r>
    <s v="01FD725401BCE2D5"/>
    <x v="2"/>
    <d v="2023-04-27T10:16:50"/>
    <d v="2023-04-27T10:51:39"/>
    <s v="State St &amp; 33rd St"/>
    <n v="21213"/>
    <s v="DuSable Harbor"/>
    <s v="KA1503000064"/>
    <n v="41.834978999999997"/>
    <n v="-87.626258000000007"/>
    <n v="41.886930999999997"/>
    <n v="-87.612791000000001"/>
    <x v="0"/>
    <d v="1899-12-30T00:34:49"/>
    <x v="2"/>
    <x v="2"/>
  </r>
  <r>
    <s v="0255962F01C4723B"/>
    <x v="0"/>
    <d v="2023-04-27T14:25:23"/>
    <d v="2023-04-27T14:35:35"/>
    <s v="Streeter Dr &amp; Grand Ave"/>
    <n v="13022"/>
    <s v="Streeter Dr &amp; Grand Ave"/>
    <n v="13022"/>
    <n v="41.891849999999998"/>
    <n v="-87.612150999999997"/>
    <n v="41.892257999999998"/>
    <n v="-87.611942999999997"/>
    <x v="0"/>
    <d v="1899-12-30T00:10:12"/>
    <x v="2"/>
    <x v="2"/>
  </r>
  <r>
    <s v="00ED1B3C05BACDBD"/>
    <x v="0"/>
    <d v="2023-04-28T15:43:15"/>
    <d v="2023-04-28T15:54:43"/>
    <s v="Wells St &amp; Concord Ln"/>
    <s v="TA1308000070"/>
    <s v="Millennium Park"/>
    <n v="13008"/>
    <n v="41.911819000000001"/>
    <n v="-87.634406999999996"/>
    <n v="41.881078000000002"/>
    <n v="-87.624380000000002"/>
    <x v="0"/>
    <d v="1899-12-30T00:11:28"/>
    <x v="3"/>
    <x v="3"/>
  </r>
  <r>
    <s v="032234790341F1A5"/>
    <x v="0"/>
    <d v="2023-04-29T16:04:27"/>
    <d v="2023-04-29T16:09:23"/>
    <s v="Streeter Dr &amp; Grand Ave"/>
    <n v="13022"/>
    <s v="Dearborn St &amp; Erie St"/>
    <n v="13045"/>
    <n v="41.892313000000001"/>
    <n v="-87.612309999999994"/>
    <n v="41.893835000000003"/>
    <n v="-87.629344000000003"/>
    <x v="0"/>
    <d v="1899-12-30T00:04:56"/>
    <x v="4"/>
    <x v="4"/>
  </r>
  <r>
    <s v="05CD498C03D72AA1"/>
    <x v="0"/>
    <d v="2023-04-30T21:57:54"/>
    <d v="2023-04-30T22:06:42"/>
    <s v="Michigan Ave &amp; Oak St"/>
    <n v="13042"/>
    <s v="Michigan Ave &amp; Oak St"/>
    <n v="13042"/>
    <n v="41.901426000000001"/>
    <n v="-87.624101999999993"/>
    <n v="41.901108000000001"/>
    <n v="-87.624032"/>
    <x v="0"/>
    <d v="1899-12-30T00:08:48"/>
    <x v="0"/>
    <x v="0"/>
  </r>
  <r>
    <s v="01564DAC02EBD61A"/>
    <x v="0"/>
    <d v="2023-05-01T11:33:46"/>
    <d v="2023-05-01T11:57:28"/>
    <s v="Kingsbury St &amp; Kinzie St"/>
    <s v="KA1503000043"/>
    <s v="Streeter Dr &amp; Grand Ave"/>
    <n v="13022"/>
    <n v="41.888953999999998"/>
    <n v="-87.638199999999998"/>
    <n v="41.892525999999997"/>
    <n v="-87.612358"/>
    <x v="1"/>
    <d v="1899-12-30T00:23:42"/>
    <x v="5"/>
    <x v="5"/>
  </r>
  <r>
    <s v="0393A34E044AF9B6"/>
    <x v="2"/>
    <d v="2023-05-02T07:28:37"/>
    <d v="2023-05-02T07:35:24"/>
    <s v="Clinton St &amp; Madison St"/>
    <s v="TA1305000032"/>
    <s v="Clinton St &amp; Madison St"/>
    <s v="TA1305000032"/>
    <n v="41.881928000000002"/>
    <n v="-87.640901999999997"/>
    <n v="41.882624"/>
    <n v="-87.640752000000006"/>
    <x v="0"/>
    <d v="1899-12-30T00:06:47"/>
    <x v="6"/>
    <x v="6"/>
  </r>
  <r>
    <s v="02F14DD804D202E6"/>
    <x v="2"/>
    <d v="2023-05-02T11:55:42"/>
    <d v="2023-05-02T12:01:15"/>
    <s v="Theater on the Lake"/>
    <s v="TA1308000001"/>
    <s v="Wells St &amp; Elm St"/>
    <s v="KA1504000135"/>
    <n v="41.925933999999998"/>
    <n v="-87.630386000000001"/>
    <n v="41.903489"/>
    <n v="-87.634556000000003"/>
    <x v="0"/>
    <d v="1899-12-30T00:05:33"/>
    <x v="6"/>
    <x v="6"/>
  </r>
  <r>
    <s v="054CADBD02C3F408"/>
    <x v="2"/>
    <d v="2023-05-02T16:32:46"/>
    <d v="2023-05-02T16:40:39"/>
    <s v="Wells St &amp; Elm St"/>
    <s v="KA1504000135"/>
    <s v="Clark St &amp; Elm St"/>
    <s v="TA1307000024"/>
    <n v="41.903359999999999"/>
    <n v="-87.634307000000007"/>
    <n v="41.903129999999997"/>
    <n v="-87.631343999999999"/>
    <x v="0"/>
    <d v="1899-12-30T00:07:53"/>
    <x v="6"/>
    <x v="6"/>
  </r>
  <r>
    <s v="040B4D0C01935B27"/>
    <x v="0"/>
    <d v="2023-05-03T04:17:04"/>
    <d v="2023-05-03T04:40:41"/>
    <s v="Michigan Ave &amp; Oak St"/>
    <n v="13042"/>
    <s v="Clinton St &amp; Madison St"/>
    <s v="TA1305000032"/>
    <n v="41.900830999999997"/>
    <n v="-87.623463999999998"/>
    <n v="41.882688999999999"/>
    <n v="-87.64058"/>
    <x v="1"/>
    <d v="1899-12-30T00:23:37"/>
    <x v="1"/>
    <x v="1"/>
  </r>
  <r>
    <s v="010A057C01AFDA17"/>
    <x v="2"/>
    <d v="2023-05-04T05:46:31"/>
    <d v="2023-05-04T06:18:48"/>
    <s v="Canal St &amp; Adams St"/>
    <n v="13011"/>
    <s v="Michigan Ave &amp; Oak St"/>
    <n v="13042"/>
    <n v="41.878906000000001"/>
    <n v="-87.639971000000003"/>
    <n v="41.901055999999997"/>
    <n v="-87.624195999999998"/>
    <x v="0"/>
    <d v="1899-12-30T00:32:17"/>
    <x v="2"/>
    <x v="2"/>
  </r>
  <r>
    <s v="02A65BC9039A837A"/>
    <x v="2"/>
    <d v="2023-05-04T07:30:18"/>
    <d v="2023-05-04T07:50:46"/>
    <s v="Kingsbury St &amp; Kinzie St"/>
    <s v="KA1503000043"/>
    <s v="Canal St &amp; Adams St"/>
    <n v="13011"/>
    <n v="41.889074999999998"/>
    <n v="-87.638493999999994"/>
    <n v="41.879238000000001"/>
    <n v="-87.640021000000004"/>
    <x v="0"/>
    <d v="1899-12-30T00:20:28"/>
    <x v="2"/>
    <x v="2"/>
  </r>
  <r>
    <s v="04273EE4011F1BFB"/>
    <x v="0"/>
    <d v="2023-05-04T15:01:38"/>
    <d v="2023-05-04T15:38:14"/>
    <s v="Millennium Park"/>
    <n v="13008"/>
    <s v="Clinton St &amp; Madison St"/>
    <s v="TA1305000032"/>
    <n v="41.880885999999997"/>
    <n v="-87.624058000000005"/>
    <n v="41.882224000000001"/>
    <n v="-87.641389000000004"/>
    <x v="1"/>
    <d v="1899-12-30T00:36:36"/>
    <x v="2"/>
    <x v="2"/>
  </r>
  <r>
    <s v="031213550102D3F0"/>
    <x v="0"/>
    <d v="2023-05-04T21:36:11"/>
    <d v="2023-05-04T22:02:06"/>
    <s v="Millennium Park"/>
    <n v="13008"/>
    <s v="Kingsbury St &amp; Kinzie St"/>
    <s v="KA1503000043"/>
    <n v="41.880752999999999"/>
    <n v="-87.624426"/>
    <n v="41.888739000000001"/>
    <n v="-87.638182999999998"/>
    <x v="1"/>
    <d v="1899-12-30T00:25:55"/>
    <x v="2"/>
    <x v="2"/>
  </r>
  <r>
    <s v="044B7DC70103BBA6"/>
    <x v="2"/>
    <d v="2023-05-05T15:01:32"/>
    <d v="2023-05-05T15:40:46"/>
    <s v="Streeter Dr &amp; Grand Ave"/>
    <n v="13022"/>
    <s v="Streeter Dr &amp; Grand Ave"/>
    <n v="13022"/>
    <n v="41.892169000000003"/>
    <n v="-87.612010999999995"/>
    <n v="41.891845000000004"/>
    <n v="-87.612313999999998"/>
    <x v="1"/>
    <d v="1899-12-30T00:39:14"/>
    <x v="3"/>
    <x v="3"/>
  </r>
  <r>
    <s v="041269C3017FBC72"/>
    <x v="0"/>
    <d v="2023-05-05T16:02:12"/>
    <d v="2023-05-05T16:17:22"/>
    <s v="Millennium Park"/>
    <n v="13008"/>
    <s v="Streeter Dr &amp; Grand Ave"/>
    <n v="13022"/>
    <n v="41.881267000000001"/>
    <n v="-87.624284000000003"/>
    <n v="41.892104000000003"/>
    <n v="-87.611750000000001"/>
    <x v="0"/>
    <d v="1899-12-30T00:15:10"/>
    <x v="3"/>
    <x v="3"/>
  </r>
  <r>
    <s v="046ECCE1030BAC62"/>
    <x v="0"/>
    <d v="2023-05-07T06:46:59"/>
    <d v="2023-05-07T09:08:14"/>
    <s v="Canal St &amp; Adams St"/>
    <n v="13011"/>
    <s v="Canal St &amp; Adams St"/>
    <n v="13011"/>
    <n v="41.879748999999997"/>
    <n v="-87.640393000000003"/>
    <n v="41.879485000000003"/>
    <n v="-87.639831999999998"/>
    <x v="1"/>
    <d v="1899-12-30T02:21:15"/>
    <x v="0"/>
    <x v="0"/>
  </r>
  <r>
    <s v="0580ED3F045FD18A"/>
    <x v="0"/>
    <d v="2023-05-07T08:00:39"/>
    <d v="2023-05-07T08:10:50"/>
    <s v="Broadway &amp; Barry Ave"/>
    <n v="13137"/>
    <s v="Clark St &amp; Elm St"/>
    <s v="TA1307000024"/>
    <n v="41.937339999999999"/>
    <n v="-87.643923000000001"/>
    <n v="41.902769999999997"/>
    <n v="-87.631062"/>
    <x v="0"/>
    <d v="1899-12-30T00:10:11"/>
    <x v="0"/>
    <x v="0"/>
  </r>
  <r>
    <s v="01342E1E015EC64D"/>
    <x v="2"/>
    <d v="2023-05-08T02:18:40"/>
    <d v="2023-05-08T02:57:54"/>
    <s v="Wells St &amp; Elm St"/>
    <s v="KA1504000135"/>
    <s v="Wells St &amp; Elm St"/>
    <s v="KA1504000135"/>
    <n v="41.903233"/>
    <n v="-87.634777"/>
    <n v="41.902997999999997"/>
    <n v="-87.634117000000003"/>
    <x v="1"/>
    <d v="1899-12-30T00:39:14"/>
    <x v="5"/>
    <x v="5"/>
  </r>
  <r>
    <s v="00B8F28701A08A9C"/>
    <x v="0"/>
    <d v="2023-05-08T13:39:51"/>
    <d v="2023-05-08T13:47:36"/>
    <s v="Columbus Dr &amp; Randolph St"/>
    <n v="13263"/>
    <s v="Clinton St &amp; Madison St"/>
    <s v="TA1305000032"/>
    <n v="41.885204000000002"/>
    <n v="-87.619337999999999"/>
    <n v="41.882117000000001"/>
    <n v="-87.640765999999999"/>
    <x v="0"/>
    <d v="1899-12-30T00:07:45"/>
    <x v="5"/>
    <x v="5"/>
  </r>
  <r>
    <s v="02023242041DBC59"/>
    <x v="0"/>
    <d v="2023-05-08T14:08:18"/>
    <d v="2023-05-08T14:50:52"/>
    <s v="Broadway &amp; Barry Ave"/>
    <n v="13137"/>
    <s v="Streeter Dr &amp; Grand Ave"/>
    <n v="13022"/>
    <n v="41.938051999999999"/>
    <n v="-87.644159999999999"/>
    <n v="41.892012999999999"/>
    <n v="-87.611838000000006"/>
    <x v="1"/>
    <d v="1899-12-30T00:42:34"/>
    <x v="5"/>
    <x v="5"/>
  </r>
  <r>
    <s v="024A1FE20373299F"/>
    <x v="2"/>
    <d v="2023-05-08T14:37:36"/>
    <d v="2023-05-08T14:42:22"/>
    <s v="Columbus Dr &amp; Randolph St"/>
    <n v="13263"/>
    <s v="Columbus Dr &amp; Randolph St"/>
    <n v="13263"/>
    <n v="41.884385000000002"/>
    <n v="-87.619193999999993"/>
    <n v="41.884270000000001"/>
    <n v="-87.619602"/>
    <x v="0"/>
    <d v="1899-12-30T00:04:46"/>
    <x v="5"/>
    <x v="5"/>
  </r>
  <r>
    <s v="053AE383055B08FD"/>
    <x v="2"/>
    <d v="2023-05-09T21:11:56"/>
    <d v="2023-05-09T21:16:36"/>
    <s v="Theater on the Lake"/>
    <s v="TA1308000001"/>
    <s v="Canal St &amp; Adams St"/>
    <n v="13011"/>
    <n v="41.925911999999997"/>
    <n v="-87.630583000000001"/>
    <n v="41.879412000000002"/>
    <n v="-87.639447000000004"/>
    <x v="0"/>
    <d v="1899-12-30T00:04:40"/>
    <x v="6"/>
    <x v="6"/>
  </r>
  <r>
    <s v="04CCFCDE0534979F"/>
    <x v="2"/>
    <d v="2023-05-10T11:13:59"/>
    <d v="2023-05-10T11:31:30"/>
    <s v="Columbus Dr &amp; Randolph St"/>
    <n v="13263"/>
    <s v="Columbus Dr &amp; Randolph St"/>
    <n v="13263"/>
    <n v="41.884658000000002"/>
    <n v="-87.619742000000002"/>
    <n v="41.884357000000001"/>
    <n v="-87.619921000000005"/>
    <x v="0"/>
    <d v="1899-12-30T00:17:31"/>
    <x v="1"/>
    <x v="1"/>
  </r>
  <r>
    <s v="012027AF024AAA2D"/>
    <x v="2"/>
    <d v="2023-05-12T17:01:29"/>
    <d v="2023-05-12T17:09:30"/>
    <s v="Canal St &amp; Adams St"/>
    <n v="13011"/>
    <s v="Millennium Park"/>
    <n v="13008"/>
    <n v="41.879537999999997"/>
    <n v="-87.640127000000007"/>
    <n v="41.881473"/>
    <n v="-87.624459999999999"/>
    <x v="0"/>
    <d v="1899-12-30T00:08:01"/>
    <x v="3"/>
    <x v="3"/>
  </r>
  <r>
    <s v="04E68A7803E5CF3B"/>
    <x v="0"/>
    <d v="2023-05-13T02:15:24"/>
    <d v="2023-05-13T02:54:22"/>
    <s v="Theater on the Lake"/>
    <s v="TA1308000001"/>
    <s v="Theater on the Lake"/>
    <s v="TA1308000001"/>
    <n v="41.926631999999998"/>
    <n v="-87.631169"/>
    <n v="41.926631"/>
    <n v="-87.630842999999999"/>
    <x v="1"/>
    <d v="1899-12-30T00:38:58"/>
    <x v="4"/>
    <x v="4"/>
  </r>
  <r>
    <s v="0190C14A02EDCC07"/>
    <x v="0"/>
    <d v="2023-05-13T13:25:25"/>
    <d v="2023-05-13T13:40:43"/>
    <s v="Millennium Park"/>
    <n v="13008"/>
    <s v="Streeter Dr &amp; Grand Ave"/>
    <n v="13022"/>
    <n v="41.881062"/>
    <n v="-87.623876999999993"/>
    <n v="41.892546000000003"/>
    <n v="-87.612455999999995"/>
    <x v="1"/>
    <d v="1899-12-30T00:15:18"/>
    <x v="4"/>
    <x v="4"/>
  </r>
  <r>
    <s v="01AD3BCE04DFA89D"/>
    <x v="2"/>
    <d v="2023-05-13T21:16:03"/>
    <d v="2023-05-13T21:36:19"/>
    <s v="Dearborn St &amp; Erie St"/>
    <n v="13045"/>
    <s v="Millennium Park"/>
    <n v="13008"/>
    <n v="41.893951000000001"/>
    <n v="-87.628838000000002"/>
    <n v="41.881025000000001"/>
    <n v="-87.624255000000005"/>
    <x v="1"/>
    <d v="1899-12-30T00:20:16"/>
    <x v="4"/>
    <x v="4"/>
  </r>
  <r>
    <s v="05A49AA60200EB39"/>
    <x v="0"/>
    <d v="2023-05-14T03:46:22"/>
    <d v="2023-05-14T03:59:32"/>
    <s v="DuSable Harbor"/>
    <s v="KA1503000064"/>
    <s v="Wells St &amp; Elm St"/>
    <s v="KA1504000135"/>
    <n v="41.887238000000004"/>
    <n v="-87.612695000000002"/>
    <n v="41.902822999999998"/>
    <n v="-87.634739999999994"/>
    <x v="0"/>
    <d v="1899-12-30T00:13:10"/>
    <x v="0"/>
    <x v="0"/>
  </r>
  <r>
    <s v="0454454C027CE220"/>
    <x v="0"/>
    <d v="2023-05-14T17:17:49"/>
    <d v="2023-05-14T17:29:12"/>
    <s v="DuSable Harbor"/>
    <s v="KA1503000064"/>
    <s v="Broadway &amp; Barry Ave"/>
    <n v="13137"/>
    <n v="41.887095000000002"/>
    <n v="-87.613230999999999"/>
    <n v="41.9373"/>
    <n v="-87.644347999999994"/>
    <x v="0"/>
    <d v="1899-12-30T00:11:23"/>
    <x v="0"/>
    <x v="0"/>
  </r>
  <r>
    <s v="0343FDE503AC236A"/>
    <x v="2"/>
    <d v="2023-05-15T08:21:28"/>
    <d v="2023-05-15T10:01:00"/>
    <s v="Dearborn St &amp; Erie St"/>
    <n v="13045"/>
    <s v="State St &amp; 33rd St"/>
    <n v="21213"/>
    <n v="41.893667000000001"/>
    <n v="-87.629807999999997"/>
    <n v="41.834383000000003"/>
    <n v="-87.625536999999994"/>
    <x v="1"/>
    <d v="1899-12-30T01:39:32"/>
    <x v="5"/>
    <x v="5"/>
  </r>
  <r>
    <s v="02AEAE8B00F14C8F"/>
    <x v="2"/>
    <d v="2023-05-16T04:51:46"/>
    <d v="2023-05-16T05:25:17"/>
    <s v="State St &amp; 33rd St"/>
    <n v="21213"/>
    <s v="Wells St &amp; Concord Ln"/>
    <s v="TA1308000070"/>
    <n v="41.835014000000001"/>
    <n v="-87.625855000000001"/>
    <n v="41.912030999999999"/>
    <n v="-87.634853000000007"/>
    <x v="1"/>
    <d v="1899-12-30T00:33:31"/>
    <x v="6"/>
    <x v="6"/>
  </r>
  <r>
    <s v="0317C0E004B7704B"/>
    <x v="0"/>
    <d v="2023-05-17T14:06:15"/>
    <d v="2023-05-17T14:24:45"/>
    <s v="Broadway &amp; Barry Ave"/>
    <n v="13137"/>
    <s v="Clinton St &amp; Madison St"/>
    <s v="TA1305000032"/>
    <n v="41.937528999999998"/>
    <n v="-87.644096000000005"/>
    <n v="41.881988999999997"/>
    <n v="-87.641095000000007"/>
    <x v="0"/>
    <d v="1899-12-30T00:18:30"/>
    <x v="1"/>
    <x v="1"/>
  </r>
  <r>
    <s v="02B3BD9005C8A657"/>
    <x v="0"/>
    <d v="2023-05-17T15:16:37"/>
    <d v="2023-05-17T15:35:42"/>
    <s v="Wells St &amp; Concord Ln"/>
    <s v="TA1308000070"/>
    <s v="Streeter Dr &amp; Grand Ave"/>
    <n v="13022"/>
    <n v="41.912578000000003"/>
    <n v="-87.634238999999994"/>
    <n v="41.892361000000001"/>
    <n v="-87.612080000000006"/>
    <x v="1"/>
    <d v="1899-12-30T00:19:05"/>
    <x v="1"/>
    <x v="1"/>
  </r>
  <r>
    <s v="013B8C40048981F0"/>
    <x v="0"/>
    <d v="2023-05-18T03:47:18"/>
    <d v="2023-05-18T05:08:53"/>
    <s v="Wells St &amp; Elm St"/>
    <s v="KA1504000135"/>
    <s v="Dearborn St &amp; Erie St"/>
    <n v="13045"/>
    <n v="41.903461"/>
    <n v="-87.634608999999998"/>
    <n v="41.894157"/>
    <n v="-87.629320000000007"/>
    <x v="1"/>
    <d v="1899-12-30T01:21:35"/>
    <x v="2"/>
    <x v="2"/>
  </r>
  <r>
    <s v="0139DCE804BC4A37"/>
    <x v="0"/>
    <d v="2023-05-18T04:18:24"/>
    <d v="2023-05-18T04:45:05"/>
    <s v="Wells St &amp; Elm St"/>
    <s v="KA1504000135"/>
    <s v="Wells St &amp; Elm St"/>
    <s v="KA1504000135"/>
    <n v="41.903272999999999"/>
    <n v="-87.634737000000001"/>
    <n v="41.903129999999997"/>
    <n v="-87.634450999999999"/>
    <x v="0"/>
    <d v="1899-12-30T00:26:41"/>
    <x v="2"/>
    <x v="2"/>
  </r>
  <r>
    <s v="00B461370491B53A"/>
    <x v="1"/>
    <d v="2023-05-19T13:56:24"/>
    <d v="2023-05-19T14:30:46"/>
    <s v="Wells St &amp; Concord Ln"/>
    <s v="TA1308000070"/>
    <s v="DuSable Harbor"/>
    <s v="KA1503000064"/>
    <n v="41.912613999999998"/>
    <n v="-87.634966000000006"/>
    <n v="41.887269000000003"/>
    <n v="-87.612404999999995"/>
    <x v="0"/>
    <d v="1899-12-30T00:34:22"/>
    <x v="3"/>
    <x v="3"/>
  </r>
  <r>
    <s v="02AB591203782A41"/>
    <x v="0"/>
    <d v="2023-05-19T23:41:29"/>
    <d v="2023-05-19T23:57:46"/>
    <s v="Michigan Ave &amp; Oak St"/>
    <n v="13042"/>
    <s v="DuSable Harbor"/>
    <s v="KA1503000064"/>
    <n v="41.900526999999997"/>
    <n v="-87.623400000000004"/>
    <n v="41.886865"/>
    <n v="-87.612770999999995"/>
    <x v="0"/>
    <d v="1899-12-30T00:16:17"/>
    <x v="3"/>
    <x v="3"/>
  </r>
  <r>
    <s v="02D2D4D204DDD9A2"/>
    <x v="2"/>
    <d v="2023-05-20T12:42:55"/>
    <d v="2023-05-20T12:56:19"/>
    <s v="Clark St &amp; Elm St"/>
    <s v="TA1307000024"/>
    <s v="Dearborn St &amp; Erie St"/>
    <n v="13045"/>
    <n v="41.903301999999996"/>
    <n v="-87.630990999999995"/>
    <n v="41.893799999999999"/>
    <n v="-87.628904000000006"/>
    <x v="0"/>
    <d v="1899-12-30T00:13:24"/>
    <x v="4"/>
    <x v="4"/>
  </r>
  <r>
    <s v="01D743A804034AFA"/>
    <x v="2"/>
    <d v="2023-05-20T17:00:06"/>
    <d v="2023-05-20T17:06:17"/>
    <s v="Michigan Ave &amp; Oak St"/>
    <n v="13042"/>
    <s v="Dearborn St &amp; Erie St"/>
    <n v="13045"/>
    <n v="41.901395999999998"/>
    <n v="-87.623335999999995"/>
    <n v="41.893667000000001"/>
    <n v="-87.628943000000007"/>
    <x v="0"/>
    <d v="1899-12-30T00:06:11"/>
    <x v="4"/>
    <x v="4"/>
  </r>
  <r>
    <s v="03F88DF6055CC62D"/>
    <x v="0"/>
    <d v="2023-05-21T08:16:16"/>
    <d v="2023-05-21T08:23:36"/>
    <s v="Broadway &amp; Barry Ave"/>
    <n v="13137"/>
    <s v="Millennium Park"/>
    <n v="13008"/>
    <n v="41.937531999999997"/>
    <n v="-87.644261"/>
    <n v="41.881402999999999"/>
    <n v="-87.624499999999998"/>
    <x v="0"/>
    <d v="1899-12-30T00:07:20"/>
    <x v="0"/>
    <x v="0"/>
  </r>
  <r>
    <s v="04586F2E01842A69"/>
    <x v="0"/>
    <d v="2023-05-21T20:37:00"/>
    <d v="2023-05-21T20:52:47"/>
    <s v="Kingsbury St &amp; Kinzie St"/>
    <s v="KA1503000043"/>
    <s v="Kingsbury St &amp; Kinzie St"/>
    <s v="KA1503000043"/>
    <n v="41.889282999999999"/>
    <n v="-87.638889000000006"/>
    <n v="41.889014000000003"/>
    <n v="-87.638863000000001"/>
    <x v="0"/>
    <d v="1899-12-30T00:15:47"/>
    <x v="0"/>
    <x v="0"/>
  </r>
  <r>
    <s v="03EA4838056BBEDC"/>
    <x v="0"/>
    <d v="2023-05-23T05:54:47"/>
    <d v="2023-05-23T06:08:42"/>
    <s v="Streeter Dr &amp; Grand Ave"/>
    <n v="13022"/>
    <s v="Theater on the Lake"/>
    <s v="TA1308000001"/>
    <n v="41.892631999999999"/>
    <n v="-87.612493999999998"/>
    <n v="41.926609999999997"/>
    <n v="-87.630489999999995"/>
    <x v="1"/>
    <d v="1899-12-30T00:13:55"/>
    <x v="6"/>
    <x v="6"/>
  </r>
  <r>
    <s v="04BCB03D04F71E7C"/>
    <x v="0"/>
    <d v="2023-05-23T12:09:45"/>
    <d v="2023-05-23T12:24:30"/>
    <s v="Wells St &amp; Elm St"/>
    <s v="KA1504000135"/>
    <s v="Wells St &amp; Elm St"/>
    <s v="KA1504000135"/>
    <n v="41.902839"/>
    <n v="-87.634276999999997"/>
    <n v="41.903624000000001"/>
    <n v="-87.634479999999996"/>
    <x v="0"/>
    <d v="1899-12-30T00:14:45"/>
    <x v="6"/>
    <x v="6"/>
  </r>
  <r>
    <s v="01A8092001A5D114"/>
    <x v="0"/>
    <d v="2023-05-23T14:58:27"/>
    <d v="2023-05-23T15:04:37"/>
    <s v="Dearborn St &amp; Erie St"/>
    <n v="13045"/>
    <s v="Clinton St &amp; Madison St"/>
    <s v="TA1305000032"/>
    <n v="41.894086000000001"/>
    <n v="-87.629321000000004"/>
    <n v="41.882730000000002"/>
    <n v="-87.64143"/>
    <x v="0"/>
    <d v="1899-12-30T00:06:10"/>
    <x v="6"/>
    <x v="6"/>
  </r>
  <r>
    <s v="03D41488050D4B08"/>
    <x v="0"/>
    <d v="2023-05-24T02:12:54"/>
    <d v="2023-05-24T02:30:08"/>
    <s v="DuSable Harbor"/>
    <s v="KA1503000064"/>
    <s v="Clinton St &amp; Madison St"/>
    <s v="TA1305000032"/>
    <n v="41.887408000000001"/>
    <n v="-87.612316000000007"/>
    <n v="41.882461999999997"/>
    <n v="-87.641278999999997"/>
    <x v="0"/>
    <d v="1899-12-30T00:17:14"/>
    <x v="1"/>
    <x v="1"/>
  </r>
  <r>
    <s v="0421C72403AF7A66"/>
    <x v="0"/>
    <d v="2023-05-25T18:12:35"/>
    <d v="2023-05-25T18:45:01"/>
    <s v="Clark St &amp; Elm St"/>
    <s v="TA1307000024"/>
    <s v="Theater on the Lake"/>
    <s v="TA1308000001"/>
    <n v="41.903005999999998"/>
    <n v="-87.63091"/>
    <n v="41.925908"/>
    <n v="-87.630543000000003"/>
    <x v="0"/>
    <d v="1899-12-30T00:32:26"/>
    <x v="2"/>
    <x v="2"/>
  </r>
  <r>
    <s v="047F015B04D829E4"/>
    <x v="1"/>
    <d v="2023-05-26T04:24:32"/>
    <d v="2023-05-26T04:42:44"/>
    <s v="Canal St &amp; Adams St"/>
    <n v="13011"/>
    <s v="Clinton St &amp; Madison St"/>
    <s v="TA1305000032"/>
    <n v="41.879666"/>
    <n v="-87.639581000000007"/>
    <n v="41.882691999999999"/>
    <n v="-87.640839999999997"/>
    <x v="1"/>
    <d v="1899-12-30T00:18:12"/>
    <x v="3"/>
    <x v="3"/>
  </r>
  <r>
    <s v="01D483B801BC324F"/>
    <x v="0"/>
    <d v="2023-05-26T22:41:04"/>
    <d v="2023-05-26T23:23:42"/>
    <s v="Canal St &amp; Adams St"/>
    <n v="13011"/>
    <s v="Columbus Dr &amp; Randolph St"/>
    <n v="13263"/>
    <n v="41.878900999999999"/>
    <n v="-87.639571000000004"/>
    <n v="41.884768000000001"/>
    <n v="-87.619175999999996"/>
    <x v="1"/>
    <d v="1899-12-30T00:42:38"/>
    <x v="3"/>
    <x v="3"/>
  </r>
  <r>
    <s v="042E449B03549526"/>
    <x v="0"/>
    <d v="2023-05-27T09:57:14"/>
    <d v="2023-05-27T10:17:37"/>
    <s v="Broadway &amp; Barry Ave"/>
    <n v="13137"/>
    <s v="Wells St &amp; Elm St"/>
    <s v="KA1504000135"/>
    <n v="41.937497999999998"/>
    <n v="-87.644169000000005"/>
    <n v="41.903263000000003"/>
    <n v="-87.634128000000004"/>
    <x v="0"/>
    <d v="1899-12-30T00:20:23"/>
    <x v="4"/>
    <x v="4"/>
  </r>
  <r>
    <s v="047FD49A05398CE7"/>
    <x v="0"/>
    <d v="2023-05-27T12:43:20"/>
    <d v="2023-05-27T13:00:33"/>
    <s v="Streeter Dr &amp; Grand Ave"/>
    <n v="13022"/>
    <s v="Michigan Ave &amp; Oak St"/>
    <n v="13042"/>
    <n v="41.892629999999997"/>
    <n v="-87.612386000000001"/>
    <n v="41.901434999999999"/>
    <n v="-87.623434000000003"/>
    <x v="0"/>
    <d v="1899-12-30T00:17:13"/>
    <x v="4"/>
    <x v="4"/>
  </r>
  <r>
    <s v="03E9FA50012198AD"/>
    <x v="0"/>
    <d v="2023-05-27T19:05:47"/>
    <d v="2023-05-27T19:14:38"/>
    <s v="Theater on the Lake"/>
    <s v="TA1308000001"/>
    <s v="Dearborn St &amp; Erie St"/>
    <n v="13045"/>
    <n v="41.926268"/>
    <n v="-87.630812000000006"/>
    <n v="41.894055000000002"/>
    <n v="-87.629377000000005"/>
    <x v="1"/>
    <d v="1899-12-30T00:08:51"/>
    <x v="4"/>
    <x v="4"/>
  </r>
  <r>
    <s v="040AA17B00FA4E23"/>
    <x v="0"/>
    <d v="2023-05-28T03:31:31"/>
    <d v="2023-05-28T03:37:11"/>
    <s v="Streeter Dr &amp; Grand Ave"/>
    <n v="13022"/>
    <s v="Wells St &amp; Concord Ln"/>
    <s v="TA1308000070"/>
    <n v="41.892715000000003"/>
    <n v="-87.612404999999995"/>
    <n v="41.911974000000001"/>
    <n v="-87.635042999999996"/>
    <x v="0"/>
    <d v="1899-12-30T00:05:40"/>
    <x v="0"/>
    <x v="0"/>
  </r>
  <r>
    <s v="03C1BE370524D9EC"/>
    <x v="0"/>
    <d v="2023-05-30T12:36:05"/>
    <d v="2023-05-30T12:52:52"/>
    <s v="Millennium Park"/>
    <n v="13008"/>
    <s v="Columbus Dr &amp; Randolph St"/>
    <n v="13263"/>
    <n v="41.880817"/>
    <n v="-87.624410999999995"/>
    <n v="41.885125000000002"/>
    <n v="-87.619940999999997"/>
    <x v="1"/>
    <d v="1899-12-30T00:16:47"/>
    <x v="6"/>
    <x v="6"/>
  </r>
  <r>
    <s v="058458D400C27864"/>
    <x v="2"/>
    <d v="2023-05-30T20:37:32"/>
    <d v="2023-05-30T20:47:14"/>
    <s v="Dearborn St &amp; Erie St"/>
    <n v="13045"/>
    <s v="Dearborn St &amp; Erie St"/>
    <n v="13045"/>
    <n v="41.893846000000003"/>
    <n v="-87.629712999999995"/>
    <n v="41.893714000000003"/>
    <n v="-87.629299000000003"/>
    <x v="0"/>
    <d v="1899-12-30T00:09:42"/>
    <x v="6"/>
    <x v="6"/>
  </r>
  <r>
    <s v="00CC7D67014106D4"/>
    <x v="1"/>
    <d v="2023-05-31T18:26:22"/>
    <d v="2023-05-31T18:37:44"/>
    <s v="Columbus Dr &amp; Randolph St"/>
    <n v="13263"/>
    <s v="DuSable Harbor"/>
    <s v="KA1503000064"/>
    <n v="41.884804000000003"/>
    <n v="-87.619860000000003"/>
    <n v="41.886947999999997"/>
    <n v="-87.612759999999994"/>
    <x v="0"/>
    <d v="1899-12-30T00:11:22"/>
    <x v="1"/>
    <x v="1"/>
  </r>
  <r>
    <s v="013E6B6C01F5DA70"/>
    <x v="1"/>
    <d v="2023-05-31T18:34:15"/>
    <d v="2023-05-31T18:43:18"/>
    <s v="Broadway &amp; Barry Ave"/>
    <n v="13137"/>
    <s v="Clark St &amp; Elm St"/>
    <s v="TA1307000024"/>
    <n v="41.937399999999997"/>
    <n v="-87.644588999999996"/>
    <n v="41.902855000000002"/>
    <n v="-87.631478000000001"/>
    <x v="0"/>
    <d v="1899-12-30T00:09:03"/>
    <x v="1"/>
    <x v="1"/>
  </r>
  <r>
    <s v="01FE62E203E33D12"/>
    <x v="2"/>
    <d v="2023-06-01T08:53:55"/>
    <d v="2023-06-01T09:52:46"/>
    <s v="State St &amp; 33rd St"/>
    <n v="21213"/>
    <s v="Millennium Park"/>
    <n v="13008"/>
    <n v="41.835132999999999"/>
    <n v="-87.625707000000006"/>
    <n v="41.880541000000001"/>
    <n v="-87.624482999999998"/>
    <x v="1"/>
    <d v="1899-12-30T00:58:51"/>
    <x v="2"/>
    <x v="2"/>
  </r>
  <r>
    <s v="0127C88304D8815B"/>
    <x v="0"/>
    <d v="2023-06-01T23:46:31"/>
    <d v="2023-06-02T00:14:28"/>
    <s v="Clark St &amp; Elm St"/>
    <s v="TA1307000024"/>
    <s v="Millennium Park"/>
    <n v="13008"/>
    <n v="41.903345999999999"/>
    <n v="-87.630878999999993"/>
    <n v="41.880954000000003"/>
    <n v="-87.624307000000002"/>
    <x v="1"/>
    <d v="1899-12-30T00:27:57"/>
    <x v="2"/>
    <x v="2"/>
  </r>
  <r>
    <s v="04B667BD0174A524"/>
    <x v="2"/>
    <d v="2023-06-02T07:17:31"/>
    <d v="2023-06-02T07:30:11"/>
    <s v="Millennium Park"/>
    <n v="13008"/>
    <s v="Streeter Dr &amp; Grand Ave"/>
    <n v="13022"/>
    <n v="41.880786000000001"/>
    <n v="-87.624336999999997"/>
    <n v="41.892474"/>
    <n v="-87.611830999999995"/>
    <x v="0"/>
    <d v="1899-12-30T00:12:40"/>
    <x v="3"/>
    <x v="3"/>
  </r>
  <r>
    <s v="04B4F9930558A16B"/>
    <x v="0"/>
    <d v="2023-06-03T01:16:57"/>
    <d v="2023-06-03T01:31:38"/>
    <s v="Wells St &amp; Concord Ln"/>
    <s v="TA1308000070"/>
    <s v="Dearborn St &amp; Erie St"/>
    <n v="13045"/>
    <n v="41.91178"/>
    <n v="-87.634949000000006"/>
    <n v="41.893805"/>
    <n v="-87.629182"/>
    <x v="0"/>
    <d v="1899-12-30T00:14:41"/>
    <x v="4"/>
    <x v="4"/>
  </r>
  <r>
    <s v="0199607B011CDF81"/>
    <x v="2"/>
    <d v="2023-06-03T12:25:52"/>
    <d v="2023-06-03T13:41:13"/>
    <s v="Michigan Ave &amp; Oak St"/>
    <n v="13042"/>
    <s v="State St &amp; 33rd St"/>
    <n v="21213"/>
    <n v="41.901232"/>
    <n v="-87.623652000000007"/>
    <n v="41.834608000000003"/>
    <n v="-87.626262999999994"/>
    <x v="1"/>
    <d v="1899-12-30T01:15:21"/>
    <x v="4"/>
    <x v="4"/>
  </r>
  <r>
    <s v="029D83E604456D75"/>
    <x v="2"/>
    <d v="2023-06-03T15:21:28"/>
    <d v="2023-06-03T15:27:50"/>
    <s v="Clark St &amp; Elm St"/>
    <s v="TA1307000024"/>
    <s v="Clark St &amp; Elm St"/>
    <s v="TA1307000024"/>
    <n v="41.903387000000002"/>
    <n v="-87.631662000000006"/>
    <n v="41.90305"/>
    <n v="-87.631506000000002"/>
    <x v="0"/>
    <d v="1899-12-30T00:06:22"/>
    <x v="4"/>
    <x v="4"/>
  </r>
  <r>
    <s v="05699AEC02FA193B"/>
    <x v="0"/>
    <d v="2023-06-03T17:11:04"/>
    <d v="2023-06-03T17:30:07"/>
    <s v="Wells St &amp; Concord Ln"/>
    <s v="TA1308000070"/>
    <s v="Kingsbury St &amp; Kinzie St"/>
    <s v="KA1503000043"/>
    <n v="41.912177999999997"/>
    <n v="-87.634951999999998"/>
    <n v="41.888931999999997"/>
    <n v="-87.638710000000003"/>
    <x v="1"/>
    <d v="1899-12-30T00:19:03"/>
    <x v="4"/>
    <x v="4"/>
  </r>
  <r>
    <s v="02D2E3D701FE183A"/>
    <x v="0"/>
    <d v="2023-06-04T03:38:45"/>
    <d v="2023-06-04T03:43:11"/>
    <s v="Dearborn St &amp; Erie St"/>
    <n v="13045"/>
    <s v="Theater on the Lake"/>
    <s v="TA1308000001"/>
    <n v="41.894247999999997"/>
    <n v="-87.629358999999994"/>
    <n v="41.926065999999999"/>
    <n v="-87.630433999999994"/>
    <x v="0"/>
    <d v="1899-12-30T00:04:26"/>
    <x v="0"/>
    <x v="0"/>
  </r>
  <r>
    <s v="020F728502805B6B"/>
    <x v="0"/>
    <d v="2023-06-04T12:16:42"/>
    <d v="2023-06-04T12:34:21"/>
    <s v="Clark St &amp; Elm St"/>
    <s v="TA1307000024"/>
    <s v="Clark St &amp; Elm St"/>
    <s v="TA1307000024"/>
    <n v="41.903008"/>
    <n v="-87.631694999999993"/>
    <n v="41.902776000000003"/>
    <n v="-87.631034999999997"/>
    <x v="1"/>
    <d v="1899-12-30T00:17:39"/>
    <x v="0"/>
    <x v="0"/>
  </r>
  <r>
    <s v="0254B26F018604B3"/>
    <x v="2"/>
    <d v="2023-06-05T12:50:07"/>
    <d v="2023-06-05T13:04:42"/>
    <s v="Columbus Dr &amp; Randolph St"/>
    <n v="13263"/>
    <s v="Streeter Dr &amp; Grand Ave"/>
    <n v="13022"/>
    <n v="41.885204999999999"/>
    <n v="-87.619197999999997"/>
    <n v="41.892299999999999"/>
    <n v="-87.61242"/>
    <x v="1"/>
    <d v="1899-12-30T00:14:35"/>
    <x v="5"/>
    <x v="5"/>
  </r>
  <r>
    <s v="05328BFB00D3E620"/>
    <x v="0"/>
    <d v="2023-06-05T23:32:06"/>
    <d v="2023-06-05T23:38:01"/>
    <s v="Streeter Dr &amp; Grand Ave"/>
    <n v="13022"/>
    <s v="Millennium Park"/>
    <n v="13008"/>
    <n v="41.892118000000004"/>
    <n v="-87.612026"/>
    <n v="41.880910999999998"/>
    <n v="-87.624577000000002"/>
    <x v="0"/>
    <d v="1899-12-30T00:05:55"/>
    <x v="5"/>
    <x v="5"/>
  </r>
  <r>
    <s v="05B28F8F03D1EE21"/>
    <x v="0"/>
    <d v="2023-06-06T01:50:38"/>
    <d v="2023-06-06T02:00:57"/>
    <s v="Canal St &amp; Adams St"/>
    <n v="13011"/>
    <s v="Wells St &amp; Concord Ln"/>
    <s v="TA1308000070"/>
    <n v="41.879033999999997"/>
    <n v="-87.639760999999993"/>
    <n v="41.912326999999998"/>
    <n v="-87.634642999999997"/>
    <x v="1"/>
    <d v="1899-12-30T00:10:19"/>
    <x v="6"/>
    <x v="6"/>
  </r>
  <r>
    <s v="018FD1BE02C467E8"/>
    <x v="1"/>
    <d v="2023-06-06T11:21:16"/>
    <d v="2023-06-06T11:27:13"/>
    <s v="Clark St &amp; Elm St"/>
    <s v="TA1307000024"/>
    <s v="Wells St &amp; Elm St"/>
    <s v="KA1504000135"/>
    <n v="41.903210999999999"/>
    <n v="-87.631074999999996"/>
    <n v="41.903145000000002"/>
    <n v="-87.634477000000004"/>
    <x v="0"/>
    <d v="1899-12-30T00:05:57"/>
    <x v="6"/>
    <x v="6"/>
  </r>
  <r>
    <s v="016C302703E6C82C"/>
    <x v="0"/>
    <d v="2023-06-07T11:23:03"/>
    <d v="2023-06-07T11:38:11"/>
    <s v="Millennium Park"/>
    <n v="13008"/>
    <s v="Columbus Dr &amp; Randolph St"/>
    <n v="13263"/>
    <n v="41.880826999999996"/>
    <n v="-87.624493000000001"/>
    <n v="41.884895999999998"/>
    <n v="-87.619888000000003"/>
    <x v="0"/>
    <d v="1899-12-30T00:15:08"/>
    <x v="1"/>
    <x v="1"/>
  </r>
  <r>
    <s v="0316C17D052A4097"/>
    <x v="2"/>
    <d v="2023-06-09T04:11:59"/>
    <d v="2023-06-09T04:27:44"/>
    <s v="Michigan Ave &amp; Oak St"/>
    <n v="13042"/>
    <s v="Michigan Ave &amp; Oak St"/>
    <n v="13042"/>
    <n v="41.900793999999998"/>
    <n v="-87.623491999999999"/>
    <n v="41.901167999999998"/>
    <n v="-87.623487999999995"/>
    <x v="1"/>
    <d v="1899-12-30T00:15:45"/>
    <x v="3"/>
    <x v="3"/>
  </r>
  <r>
    <s v="02FCA64A01B3FEFA"/>
    <x v="2"/>
    <d v="2023-06-09T07:55:38"/>
    <d v="2023-06-09T08:17:20"/>
    <s v="Theater on the Lake"/>
    <s v="TA1308000001"/>
    <s v="Kingsbury St &amp; Kinzie St"/>
    <s v="KA1503000043"/>
    <n v="41.926138999999999"/>
    <n v="-87.630508000000006"/>
    <n v="41.889378000000001"/>
    <n v="-87.638547000000003"/>
    <x v="0"/>
    <d v="1899-12-30T00:21:42"/>
    <x v="3"/>
    <x v="3"/>
  </r>
  <r>
    <s v="022B19CD00E10493"/>
    <x v="0"/>
    <d v="2023-06-09T08:42:01"/>
    <d v="2023-06-09T08:58:19"/>
    <s v="Kingsbury St &amp; Kinzie St"/>
    <s v="KA1503000043"/>
    <s v="Kingsbury St &amp; Kinzie St"/>
    <s v="KA1503000043"/>
    <n v="41.889457999999998"/>
    <n v="-87.638546000000005"/>
    <n v="41.888734999999997"/>
    <n v="-87.638011000000006"/>
    <x v="0"/>
    <d v="1899-12-30T00:16:18"/>
    <x v="3"/>
    <x v="3"/>
  </r>
  <r>
    <s v="02A96197023B77CF"/>
    <x v="2"/>
    <d v="2023-06-09T22:11:23"/>
    <d v="2023-06-09T22:28:57"/>
    <s v="Canal St &amp; Adams St"/>
    <n v="13011"/>
    <s v="Canal St &amp; Adams St"/>
    <n v="13011"/>
    <n v="41.879565999999997"/>
    <n v="-87.639583000000002"/>
    <n v="41.879381000000002"/>
    <n v="-87.639583999999999"/>
    <x v="0"/>
    <d v="1899-12-30T00:17:34"/>
    <x v="3"/>
    <x v="3"/>
  </r>
  <r>
    <s v="031A58DE038F993B"/>
    <x v="2"/>
    <d v="2023-06-11T05:19:02"/>
    <d v="2023-06-11T05:25:26"/>
    <s v="Dearborn St &amp; Erie St"/>
    <n v="13045"/>
    <s v="Dearborn St &amp; Erie St"/>
    <n v="13045"/>
    <n v="41.894421999999999"/>
    <n v="-87.629748000000006"/>
    <n v="41.893701"/>
    <n v="-87.629147000000003"/>
    <x v="0"/>
    <d v="1899-12-30T00:06:24"/>
    <x v="0"/>
    <x v="0"/>
  </r>
  <r>
    <s v="05179BEA0329691B"/>
    <x v="2"/>
    <d v="2023-06-11T20:25:34"/>
    <d v="2023-06-11T20:47:15"/>
    <s v="Canal St &amp; Adams St"/>
    <n v="13011"/>
    <s v="Columbus Dr &amp; Randolph St"/>
    <n v="13263"/>
    <n v="41.879156999999999"/>
    <n v="-87.640353000000005"/>
    <n v="41.884725000000003"/>
    <n v="-87.619898000000006"/>
    <x v="0"/>
    <d v="1899-12-30T00:21:41"/>
    <x v="0"/>
    <x v="0"/>
  </r>
  <r>
    <s v="041E76D100FFF6D6"/>
    <x v="0"/>
    <d v="2023-06-12T16:33:29"/>
    <d v="2023-06-12T16:50:44"/>
    <s v="State St &amp; 33rd St"/>
    <n v="21213"/>
    <s v="Canal St &amp; Adams St"/>
    <n v="13011"/>
    <n v="41.835101999999999"/>
    <n v="-87.625484999999998"/>
    <n v="41.879381000000002"/>
    <n v="-87.640328999999994"/>
    <x v="0"/>
    <d v="1899-12-30T00:17:15"/>
    <x v="5"/>
    <x v="5"/>
  </r>
  <r>
    <s v="014C1E9C026D6AEF"/>
    <x v="0"/>
    <d v="2023-06-12T19:48:26"/>
    <d v="2023-06-12T19:57:45"/>
    <s v="Clinton St &amp; Madison St"/>
    <s v="TA1305000032"/>
    <s v="Wells St &amp; Concord Ln"/>
    <s v="TA1308000070"/>
    <n v="41.882615000000001"/>
    <n v="-87.641065999999995"/>
    <n v="41.912362999999999"/>
    <n v="-87.634536999999995"/>
    <x v="1"/>
    <d v="1899-12-30T00:09:19"/>
    <x v="5"/>
    <x v="5"/>
  </r>
  <r>
    <s v="030C30BE042E6095"/>
    <x v="0"/>
    <d v="2023-06-12T21:47:55"/>
    <d v="2023-06-12T22:40:42"/>
    <s v="Theater on the Lake"/>
    <s v="TA1308000001"/>
    <s v="Columbus Dr &amp; Randolph St"/>
    <n v="13263"/>
    <n v="41.926665"/>
    <n v="-87.631009000000006"/>
    <n v="41.885128999999999"/>
    <n v="-87.619024999999993"/>
    <x v="1"/>
    <d v="1899-12-30T00:52:47"/>
    <x v="5"/>
    <x v="5"/>
  </r>
  <r>
    <n v="564793002368730"/>
    <x v="1"/>
    <d v="2023-06-13T08:52:25"/>
    <d v="2023-06-13T08:58:20"/>
    <s v="Broadway &amp; Barry Ave"/>
    <n v="13137"/>
    <s v="Theater on the Lake"/>
    <s v="TA1308000001"/>
    <n v="41.937542999999998"/>
    <n v="-87.644311999999999"/>
    <n v="41.926023999999998"/>
    <n v="-87.630689000000004"/>
    <x v="0"/>
    <d v="1899-12-30T00:05:55"/>
    <x v="6"/>
    <x v="6"/>
  </r>
  <r>
    <s v="00B87B6402E86784"/>
    <x v="0"/>
    <d v="2023-06-13T13:00:22"/>
    <d v="2023-06-13T13:20:32"/>
    <s v="Dearborn St &amp; Erie St"/>
    <n v="13045"/>
    <s v="Dearborn St &amp; Erie St"/>
    <n v="13045"/>
    <n v="41.893661999999999"/>
    <n v="-87.629298000000006"/>
    <n v="41.893828999999997"/>
    <n v="-87.628989000000004"/>
    <x v="1"/>
    <d v="1899-12-30T00:20:10"/>
    <x v="6"/>
    <x v="6"/>
  </r>
  <r>
    <s v="026B73540380D534"/>
    <x v="2"/>
    <d v="2023-06-13T15:44:34"/>
    <d v="2023-06-13T15:57:44"/>
    <s v="Kingsbury St &amp; Kinzie St"/>
    <s v="KA1503000043"/>
    <s v="Wells St &amp; Concord Ln"/>
    <s v="TA1308000070"/>
    <n v="41.888826000000002"/>
    <n v="-87.638879000000003"/>
    <n v="41.912497999999999"/>
    <n v="-87.634912999999997"/>
    <x v="1"/>
    <d v="1899-12-30T00:13:10"/>
    <x v="6"/>
    <x v="6"/>
  </r>
  <r>
    <s v="028D94D4059C8511"/>
    <x v="0"/>
    <d v="2023-06-16T15:38:38"/>
    <d v="2023-06-16T15:48:23"/>
    <s v="Michigan Ave &amp; Oak St"/>
    <n v="13042"/>
    <s v="Theater on the Lake"/>
    <s v="TA1308000001"/>
    <n v="41.901038"/>
    <n v="-87.624003000000002"/>
    <n v="41.925856000000003"/>
    <n v="-87.631247999999999"/>
    <x v="0"/>
    <d v="1899-12-30T00:09:45"/>
    <x v="3"/>
    <x v="3"/>
  </r>
  <r>
    <s v="047CC30204BDA464"/>
    <x v="2"/>
    <d v="2023-06-17T05:37:03"/>
    <d v="2023-06-17T06:15:16"/>
    <s v="DuSable Harbor"/>
    <s v="KA1503000064"/>
    <s v="Dearborn St &amp; Erie St"/>
    <n v="13045"/>
    <n v="41.886574000000003"/>
    <n v="-87.612628999999998"/>
    <n v="41.893932"/>
    <n v="-87.629695999999996"/>
    <x v="0"/>
    <d v="1899-12-30T00:38:13"/>
    <x v="4"/>
    <x v="4"/>
  </r>
  <r>
    <s v="045342D4029DBCB6"/>
    <x v="0"/>
    <d v="2023-06-17T07:55:31"/>
    <d v="2023-06-17T08:07:25"/>
    <s v="Streeter Dr &amp; Grand Ave"/>
    <n v="13022"/>
    <s v="Clinton St &amp; Madison St"/>
    <s v="TA1305000032"/>
    <n v="41.892598"/>
    <n v="-87.611717999999996"/>
    <n v="41.882530000000003"/>
    <n v="-87.641283000000001"/>
    <x v="1"/>
    <d v="1899-12-30T00:11:54"/>
    <x v="4"/>
    <x v="4"/>
  </r>
  <r>
    <s v="0296E9AC0218222B"/>
    <x v="0"/>
    <d v="2023-06-17T15:14:41"/>
    <d v="2023-06-17T15:36:28"/>
    <s v="Millennium Park"/>
    <n v="13008"/>
    <s v="State St &amp; 33rd St"/>
    <n v="21213"/>
    <n v="41.881227000000003"/>
    <n v="-87.624016999999995"/>
    <n v="41.835030000000003"/>
    <n v="-87.625578000000004"/>
    <x v="1"/>
    <d v="1899-12-30T00:21:47"/>
    <x v="4"/>
    <x v="4"/>
  </r>
  <r>
    <s v="02D2418901F88DA5"/>
    <x v="0"/>
    <d v="2023-06-18T16:41:57"/>
    <d v="2023-06-18T16:46:59"/>
    <s v="Columbus Dr &amp; Randolph St"/>
    <n v="13263"/>
    <s v="Streeter Dr &amp; Grand Ave"/>
    <n v="13022"/>
    <n v="41.884791999999997"/>
    <n v="-87.619420000000005"/>
    <n v="41.891944000000002"/>
    <n v="-87.612162999999995"/>
    <x v="0"/>
    <d v="1899-12-30T00:05:02"/>
    <x v="0"/>
    <x v="0"/>
  </r>
  <r>
    <s v="00EEDD5D0443D064"/>
    <x v="0"/>
    <d v="2023-06-20T17:00:35"/>
    <d v="2023-06-20T17:38:41"/>
    <s v="State St &amp; 33rd St"/>
    <n v="21213"/>
    <s v="Canal St &amp; Adams St"/>
    <n v="13011"/>
    <n v="41.835163999999999"/>
    <n v="-87.625505000000004"/>
    <n v="41.879387999999999"/>
    <n v="-87.639533"/>
    <x v="0"/>
    <d v="1899-12-30T00:38:06"/>
    <x v="6"/>
    <x v="6"/>
  </r>
  <r>
    <s v="025A83E60456E4DA"/>
    <x v="0"/>
    <d v="2023-06-22T09:55:28"/>
    <d v="2023-06-22T10:20:54"/>
    <s v="DuSable Harbor"/>
    <s v="KA1503000064"/>
    <s v="DuSable Harbor"/>
    <s v="KA1503000064"/>
    <n v="41.887377999999998"/>
    <n v="-87.612436000000002"/>
    <n v="41.887450000000001"/>
    <n v="-87.613285000000005"/>
    <x v="1"/>
    <d v="1899-12-30T00:25:26"/>
    <x v="2"/>
    <x v="2"/>
  </r>
  <r>
    <s v="04D41A5B02D2A379"/>
    <x v="2"/>
    <d v="2023-06-24T06:46:29"/>
    <d v="2023-06-24T06:59:51"/>
    <s v="Streeter Dr &amp; Grand Ave"/>
    <n v="13022"/>
    <s v="DuSable Harbor"/>
    <s v="KA1503000064"/>
    <n v="41.892035"/>
    <n v="-87.611878000000004"/>
    <n v="41.887276"/>
    <n v="-87.612650000000002"/>
    <x v="1"/>
    <d v="1899-12-30T00:13:22"/>
    <x v="4"/>
    <x v="4"/>
  </r>
  <r>
    <s v="029E850602A2EAC7"/>
    <x v="0"/>
    <d v="2023-06-27T05:45:04"/>
    <d v="2023-06-27T05:58:16"/>
    <s v="Canal St &amp; Adams St"/>
    <n v="13011"/>
    <s v="Wells St &amp; Concord Ln"/>
    <s v="TA1308000070"/>
    <n v="41.878807999999999"/>
    <n v="-87.639702999999997"/>
    <n v="41.911689000000003"/>
    <n v="-87.634243999999995"/>
    <x v="1"/>
    <d v="1899-12-30T00:13:12"/>
    <x v="6"/>
    <x v="6"/>
  </r>
  <r>
    <s v="02289DFD03C495E3"/>
    <x v="0"/>
    <d v="2023-06-27T08:09:04"/>
    <d v="2023-06-27T08:13:47"/>
    <s v="DuSable Harbor"/>
    <s v="KA1503000064"/>
    <s v="DuSable Harbor"/>
    <s v="KA1503000064"/>
    <n v="41.886564"/>
    <n v="-87.613174000000001"/>
    <n v="41.886479000000001"/>
    <n v="-87.613196000000002"/>
    <x v="0"/>
    <d v="1899-12-30T00:04:43"/>
    <x v="6"/>
    <x v="6"/>
  </r>
  <r>
    <s v="02E1F46302F87CB3"/>
    <x v="2"/>
    <d v="2023-06-27T14:51:45"/>
    <d v="2023-06-27T15:16:08"/>
    <s v="Kingsbury St &amp; Kinzie St"/>
    <s v="KA1503000043"/>
    <s v="Kingsbury St &amp; Kinzie St"/>
    <s v="KA1503000043"/>
    <n v="41.888796999999997"/>
    <n v="-87.638088999999994"/>
    <n v="41.889398"/>
    <n v="-87.638604999999998"/>
    <x v="0"/>
    <d v="1899-12-30T00:24:23"/>
    <x v="6"/>
    <x v="6"/>
  </r>
  <r>
    <s v="03AB5E1A037B894A"/>
    <x v="2"/>
    <d v="2023-06-29T00:13:26"/>
    <d v="2023-06-29T00:24:16"/>
    <s v="Kingsbury St &amp; Kinzie St"/>
    <s v="KA1503000043"/>
    <s v="Millennium Park"/>
    <n v="13008"/>
    <n v="41.889484000000003"/>
    <n v="-87.638530000000003"/>
    <n v="41.881528000000003"/>
    <n v="-87.624525000000006"/>
    <x v="0"/>
    <d v="1899-12-30T00:10:50"/>
    <x v="2"/>
    <x v="2"/>
  </r>
  <r>
    <s v="036B0E73052B2F46"/>
    <x v="2"/>
    <d v="2023-06-30T14:17:02"/>
    <d v="2023-06-30T14:23:16"/>
    <s v="Wells St &amp; Elm St"/>
    <s v="KA1504000135"/>
    <s v="Wells St &amp; Elm St"/>
    <s v="KA1504000135"/>
    <n v="41.903320000000001"/>
    <n v="-87.634217000000007"/>
    <n v="41.902970000000003"/>
    <n v="-87.634265999999997"/>
    <x v="0"/>
    <d v="1899-12-30T00:06:14"/>
    <x v="3"/>
    <x v="3"/>
  </r>
  <r>
    <s v="01958F34041C8BE3"/>
    <x v="0"/>
    <d v="2023-06-30T15:13:15"/>
    <d v="2023-06-30T15:44:36"/>
    <s v="DuSable Harbor"/>
    <s v="KA1503000064"/>
    <s v="Canal St &amp; Adams St"/>
    <n v="13011"/>
    <n v="41.887104999999998"/>
    <n v="-87.613046999999995"/>
    <n v="41.878793999999999"/>
    <n v="-87.639948000000004"/>
    <x v="1"/>
    <d v="1899-12-30T00:31:21"/>
    <x v="3"/>
    <x v="3"/>
  </r>
  <r>
    <s v="022B6FE001F83488"/>
    <x v="0"/>
    <d v="2023-07-01T12:43:55"/>
    <d v="2023-07-01T12:53:28"/>
    <s v="Columbus Dr &amp; Randolph St"/>
    <n v="13263"/>
    <s v="Columbus Dr &amp; Randolph St"/>
    <n v="13263"/>
    <n v="41.884672999999999"/>
    <n v="-87.619533000000004"/>
    <n v="41.885041000000001"/>
    <n v="-87.619922000000003"/>
    <x v="1"/>
    <d v="1899-12-30T00:09:33"/>
    <x v="4"/>
    <x v="4"/>
  </r>
  <r>
    <s v="03A782F70521E06A"/>
    <x v="1"/>
    <d v="2023-07-01T15:48:13"/>
    <d v="2023-07-01T16:03:00"/>
    <s v="DuSable Harbor"/>
    <s v="KA1503000064"/>
    <s v="DuSable Harbor"/>
    <s v="KA1503000064"/>
    <n v="41.886561999999998"/>
    <n v="-87.613105000000004"/>
    <n v="41.886502999999998"/>
    <n v="-87.613131999999993"/>
    <x v="1"/>
    <d v="1899-12-30T00:14:47"/>
    <x v="4"/>
    <x v="4"/>
  </r>
  <r>
    <s v="03E7076500BE6E11"/>
    <x v="2"/>
    <d v="2023-07-01T22:52:37"/>
    <d v="2023-07-01T22:57:56"/>
    <s v="Canal St &amp; Adams St"/>
    <n v="13011"/>
    <s v="Kingsbury St &amp; Kinzie St"/>
    <s v="KA1503000043"/>
    <n v="41.879556000000001"/>
    <n v="-87.63973"/>
    <n v="41.888683"/>
    <n v="-87.638540000000006"/>
    <x v="0"/>
    <d v="1899-12-30T00:05:19"/>
    <x v="4"/>
    <x v="4"/>
  </r>
  <r>
    <s v="0504553F05CABE92"/>
    <x v="0"/>
    <d v="2023-07-02T09:52:54"/>
    <d v="2023-07-02T10:00:45"/>
    <s v="Streeter Dr &amp; Grand Ave"/>
    <n v="13022"/>
    <s v="State St &amp; 33rd St"/>
    <n v="21213"/>
    <n v="41.892544999999998"/>
    <n v="-87.611808999999994"/>
    <n v="41.834533"/>
    <n v="-87.626140000000007"/>
    <x v="0"/>
    <d v="1899-12-30T00:07:51"/>
    <x v="0"/>
    <x v="0"/>
  </r>
  <r>
    <s v="03F762D70122CB4B"/>
    <x v="0"/>
    <d v="2023-07-07T13:28:31"/>
    <d v="2023-07-07T13:34:43"/>
    <s v="Clark St &amp; Elm St"/>
    <s v="TA1307000024"/>
    <s v="Clark St &amp; Elm St"/>
    <s v="TA1307000024"/>
    <n v="41.903191999999997"/>
    <n v="-87.631507999999997"/>
    <n v="41.902788999999999"/>
    <n v="-87.630934999999994"/>
    <x v="0"/>
    <d v="1899-12-30T00:06:12"/>
    <x v="3"/>
    <x v="3"/>
  </r>
  <r>
    <s v="0321B86A00F71AB0"/>
    <x v="2"/>
    <d v="2023-07-07T17:18:30"/>
    <d v="2023-07-07T17:37:19"/>
    <s v="Dearborn St &amp; Erie St"/>
    <n v="13045"/>
    <s v="Dearborn St &amp; Erie St"/>
    <n v="13045"/>
    <n v="41.893500000000003"/>
    <n v="-87.629187000000002"/>
    <n v="41.893940000000001"/>
    <n v="-87.629683999999997"/>
    <x v="0"/>
    <d v="1899-12-30T00:18:49"/>
    <x v="3"/>
    <x v="3"/>
  </r>
  <r>
    <s v="02AC9E67016B8014"/>
    <x v="0"/>
    <d v="2023-07-08T02:00:44"/>
    <d v="2023-07-08T02:06:38"/>
    <s v="Wells St &amp; Concord Ln"/>
    <s v="TA1308000070"/>
    <s v="Columbus Dr &amp; Randolph St"/>
    <n v="13263"/>
    <n v="41.912356000000003"/>
    <n v="-87.635052000000002"/>
    <n v="41.884453000000001"/>
    <n v="-87.619318000000007"/>
    <x v="0"/>
    <d v="1899-12-30T00:05:54"/>
    <x v="4"/>
    <x v="4"/>
  </r>
  <r>
    <s v="05060D750137F525"/>
    <x v="2"/>
    <d v="2023-07-08T23:13:26"/>
    <d v="2023-07-08T23:30:43"/>
    <s v="Broadway &amp; Barry Ave"/>
    <n v="13137"/>
    <s v="Clark St &amp; Elm St"/>
    <s v="TA1307000024"/>
    <n v="41.937714"/>
    <n v="-87.644543999999996"/>
    <n v="41.903117000000002"/>
    <n v="-87.630806000000007"/>
    <x v="0"/>
    <d v="1899-12-30T00:17:17"/>
    <x v="4"/>
    <x v="4"/>
  </r>
  <r>
    <s v="0224D29A056528B1"/>
    <x v="2"/>
    <d v="2023-07-09T17:18:12"/>
    <d v="2023-07-09T17:26:35"/>
    <s v="Broadway &amp; Barry Ave"/>
    <n v="13137"/>
    <s v="Columbus Dr &amp; Randolph St"/>
    <n v="13263"/>
    <n v="41.937994000000003"/>
    <n v="-87.644375999999994"/>
    <n v="41.884284000000001"/>
    <n v="-87.619765000000001"/>
    <x v="0"/>
    <d v="1899-12-30T00:08:23"/>
    <x v="0"/>
    <x v="0"/>
  </r>
  <r>
    <s v="01DC6CFA02E6C214"/>
    <x v="2"/>
    <d v="2023-07-10T17:22:35"/>
    <d v="2023-07-10T18:54:58"/>
    <s v="DuSable Harbor"/>
    <s v="KA1503000064"/>
    <s v="Wells St &amp; Concord Ln"/>
    <s v="TA1308000070"/>
    <n v="41.886938000000001"/>
    <n v="-87.612392"/>
    <n v="41.912328000000002"/>
    <n v="-87.634427000000002"/>
    <x v="1"/>
    <d v="1899-12-30T01:32:23"/>
    <x v="5"/>
    <x v="5"/>
  </r>
  <r>
    <s v="0295E8A705E3FCE4"/>
    <x v="2"/>
    <d v="2023-07-10T19:33:41"/>
    <d v="2023-07-10T19:57:57"/>
    <s v="Theater on the Lake"/>
    <s v="TA1308000001"/>
    <s v="Clinton St &amp; Madison St"/>
    <s v="TA1305000032"/>
    <n v="41.926571000000003"/>
    <n v="-87.631175999999996"/>
    <n v="41.881793999999999"/>
    <n v="-87.641008999999997"/>
    <x v="0"/>
    <d v="1899-12-30T00:24:16"/>
    <x v="5"/>
    <x v="5"/>
  </r>
  <r>
    <s v="0445C60D04D728C1"/>
    <x v="2"/>
    <d v="2023-07-11T20:43:33"/>
    <d v="2023-07-11T21:00:06"/>
    <s v="DuSable Harbor"/>
    <s v="KA1503000064"/>
    <s v="State St &amp; 33rd St"/>
    <n v="21213"/>
    <n v="41.886566999999999"/>
    <n v="-87.612587000000005"/>
    <n v="41.834781"/>
    <n v="-87.625861999999998"/>
    <x v="1"/>
    <d v="1899-12-30T00:16:33"/>
    <x v="6"/>
    <x v="6"/>
  </r>
  <r>
    <s v="00AEF9F8048653DC"/>
    <x v="0"/>
    <d v="2023-07-11T20:44:24"/>
    <d v="2023-07-11T20:49:31"/>
    <s v="State St &amp; 33rd St"/>
    <n v="21213"/>
    <s v="Streeter Dr &amp; Grand Ave"/>
    <n v="13022"/>
    <n v="41.834685"/>
    <n v="-87.625444000000002"/>
    <n v="41.892308"/>
    <n v="-87.612075000000004"/>
    <x v="0"/>
    <d v="1899-12-30T00:05:07"/>
    <x v="6"/>
    <x v="6"/>
  </r>
  <r>
    <s v="0247E64A034243A7"/>
    <x v="0"/>
    <d v="2023-07-14T08:11:02"/>
    <d v="2023-07-14T08:44:50"/>
    <s v="Theater on the Lake"/>
    <s v="TA1308000001"/>
    <s v="DuSable Harbor"/>
    <s v="KA1503000064"/>
    <n v="41.926352000000001"/>
    <n v="-87.630904999999998"/>
    <n v="41.886752000000001"/>
    <n v="-87.612544"/>
    <x v="1"/>
    <d v="1899-12-30T00:33:48"/>
    <x v="3"/>
    <x v="3"/>
  </r>
  <r>
    <s v="03CF474503751B83"/>
    <x v="0"/>
    <d v="2023-07-17T09:17:59"/>
    <d v="2023-07-17T09:27:07"/>
    <s v="Dearborn St &amp; Erie St"/>
    <n v="13045"/>
    <s v="Wells St &amp; Elm St"/>
    <s v="KA1504000135"/>
    <n v="41.894058000000001"/>
    <n v="-87.628838000000002"/>
    <n v="41.902887"/>
    <n v="-87.634124"/>
    <x v="0"/>
    <d v="1899-12-30T00:09:08"/>
    <x v="5"/>
    <x v="5"/>
  </r>
  <r>
    <s v="01673C8202139E99"/>
    <x v="2"/>
    <d v="2023-07-17T21:30:59"/>
    <d v="2023-07-17T21:58:40"/>
    <s v="Canal St &amp; Adams St"/>
    <n v="13011"/>
    <s v="DuSable Harbor"/>
    <s v="KA1503000064"/>
    <n v="41.879004000000002"/>
    <n v="-87.639493999999999"/>
    <n v="41.886629999999997"/>
    <n v="-87.612685999999997"/>
    <x v="1"/>
    <d v="1899-12-30T00:27:41"/>
    <x v="5"/>
    <x v="5"/>
  </r>
  <r>
    <s v="048C869803DA4484"/>
    <x v="0"/>
    <d v="2023-07-18T02:00:28"/>
    <d v="2023-07-18T02:25:00"/>
    <s v="Streeter Dr &amp; Grand Ave"/>
    <n v="13022"/>
    <s v="Dearborn St &amp; Erie St"/>
    <n v="13045"/>
    <n v="41.892356999999997"/>
    <n v="-87.612459999999999"/>
    <n v="41.893647000000001"/>
    <n v="-87.629378000000003"/>
    <x v="0"/>
    <d v="1899-12-30T00:24:32"/>
    <x v="6"/>
    <x v="6"/>
  </r>
  <r>
    <s v="01A7701F033C4038"/>
    <x v="0"/>
    <d v="2023-07-18T14:34:05"/>
    <d v="2023-07-18T14:52:31"/>
    <s v="Columbus Dr &amp; Randolph St"/>
    <n v="13263"/>
    <s v="DuSable Harbor"/>
    <s v="KA1503000064"/>
    <n v="41.885128000000002"/>
    <n v="-87.619393000000002"/>
    <n v="41.886915000000002"/>
    <n v="-87.613274000000004"/>
    <x v="0"/>
    <d v="1899-12-30T00:18:26"/>
    <x v="6"/>
    <x v="6"/>
  </r>
  <r>
    <s v="00ACB17503FA6161"/>
    <x v="2"/>
    <d v="2023-07-19T12:06:07"/>
    <d v="2023-07-19T12:15:12"/>
    <s v="Columbus Dr &amp; Randolph St"/>
    <n v="13263"/>
    <s v="Dearborn St &amp; Erie St"/>
    <n v="13045"/>
    <n v="41.884594999999997"/>
    <n v="-87.619934000000001"/>
    <n v="41.894049000000003"/>
    <n v="-87.628973000000002"/>
    <x v="0"/>
    <d v="1899-12-30T00:09:05"/>
    <x v="1"/>
    <x v="1"/>
  </r>
  <r>
    <s v="0323447704FDC94E"/>
    <x v="0"/>
    <d v="2023-07-20T12:09:57"/>
    <d v="2023-07-20T12:32:41"/>
    <s v="Columbus Dr &amp; Randolph St"/>
    <n v="13263"/>
    <s v="Dearborn St &amp; Erie St"/>
    <n v="13045"/>
    <n v="41.884987000000002"/>
    <n v="-87.620006000000004"/>
    <n v="41.893698999999998"/>
    <n v="-87.629104999999996"/>
    <x v="0"/>
    <d v="1899-12-30T00:22:44"/>
    <x v="2"/>
    <x v="2"/>
  </r>
  <r>
    <s v="00B244D801E86E8B"/>
    <x v="0"/>
    <d v="2023-07-20T16:41:31"/>
    <d v="2023-07-20T17:05:18"/>
    <s v="Millennium Park"/>
    <n v="13008"/>
    <s v="DuSable Harbor"/>
    <s v="KA1503000064"/>
    <n v="41.880958"/>
    <n v="-87.624036000000004"/>
    <n v="41.886651000000001"/>
    <n v="-87.613016999999999"/>
    <x v="0"/>
    <d v="1899-12-30T00:23:47"/>
    <x v="2"/>
    <x v="2"/>
  </r>
  <r>
    <s v="056D7B9300F945E4"/>
    <x v="2"/>
    <d v="2023-07-21T06:27:34"/>
    <d v="2023-07-21T06:52:57"/>
    <s v="Streeter Dr &amp; Grand Ave"/>
    <n v="13022"/>
    <s v="Streeter Dr &amp; Grand Ave"/>
    <n v="13022"/>
    <n v="41.892471999999998"/>
    <n v="-87.612460999999996"/>
    <n v="41.892688999999997"/>
    <n v="-87.612078999999994"/>
    <x v="0"/>
    <d v="1899-12-30T00:25:23"/>
    <x v="3"/>
    <x v="3"/>
  </r>
  <r>
    <s v="0377F7B501D0D170"/>
    <x v="0"/>
    <d v="2023-07-21T08:31:58"/>
    <d v="2023-07-21T08:39:06"/>
    <s v="Streeter Dr &amp; Grand Ave"/>
    <n v="13022"/>
    <s v="Dearborn St &amp; Erie St"/>
    <n v="13045"/>
    <n v="41.89226"/>
    <n v="-87.612181000000007"/>
    <n v="41.894441"/>
    <n v="-87.629186000000004"/>
    <x v="0"/>
    <d v="1899-12-30T00:07:08"/>
    <x v="3"/>
    <x v="3"/>
  </r>
  <r>
    <s v="034E022702A44C52"/>
    <x v="2"/>
    <d v="2023-07-22T07:07:30"/>
    <d v="2023-07-22T07:17:21"/>
    <s v="Columbus Dr &amp; Randolph St"/>
    <n v="13263"/>
    <s v="Millennium Park"/>
    <n v="13008"/>
    <n v="41.885156000000002"/>
    <n v="-87.619024999999993"/>
    <n v="41.881328000000003"/>
    <n v="-87.623829999999998"/>
    <x v="1"/>
    <d v="1899-12-30T00:09:51"/>
    <x v="4"/>
    <x v="4"/>
  </r>
  <r>
    <s v="026EE5B90161067F"/>
    <x v="2"/>
    <d v="2023-07-22T20:38:33"/>
    <d v="2023-07-22T20:47:54"/>
    <s v="Broadway &amp; Barry Ave"/>
    <n v="13137"/>
    <s v="Streeter Dr &amp; Grand Ave"/>
    <n v="13022"/>
    <n v="41.937148999999998"/>
    <n v="-87.644080000000002"/>
    <n v="41.891928"/>
    <n v="-87.611806000000001"/>
    <x v="0"/>
    <d v="1899-12-30T00:09:21"/>
    <x v="4"/>
    <x v="4"/>
  </r>
  <r>
    <s v="035C42690121D356"/>
    <x v="2"/>
    <d v="2023-07-23T08:06:48"/>
    <d v="2023-07-23T08:38:24"/>
    <s v="Kingsbury St &amp; Kinzie St"/>
    <s v="KA1503000043"/>
    <s v="Kingsbury St &amp; Kinzie St"/>
    <s v="KA1503000043"/>
    <n v="41.888846000000001"/>
    <n v="-87.638037999999995"/>
    <n v="41.889130000000002"/>
    <n v="-87.638059999999996"/>
    <x v="0"/>
    <d v="1899-12-30T00:31:36"/>
    <x v="0"/>
    <x v="0"/>
  </r>
  <r>
    <s v="0169F74203063868"/>
    <x v="2"/>
    <d v="2023-07-25T02:22:59"/>
    <d v="2023-07-25T02:34:24"/>
    <s v="Millennium Park"/>
    <n v="13008"/>
    <s v="Wells St &amp; Elm St"/>
    <s v="KA1504000135"/>
    <n v="41.880771000000003"/>
    <n v="-87.624053000000004"/>
    <n v="41.903373000000002"/>
    <n v="-87.634179000000003"/>
    <x v="0"/>
    <d v="1899-12-30T00:11:25"/>
    <x v="6"/>
    <x v="6"/>
  </r>
  <r>
    <s v="0546AE77029AAC45"/>
    <x v="2"/>
    <d v="2023-07-25T18:38:15"/>
    <d v="2023-07-25T19:45:10"/>
    <s v="Wells St &amp; Elm St"/>
    <s v="KA1504000135"/>
    <s v="Clinton St &amp; Madison St"/>
    <s v="TA1305000032"/>
    <n v="41.903402"/>
    <n v="-87.633877999999996"/>
    <n v="41.882038000000001"/>
    <n v="-87.641565"/>
    <x v="0"/>
    <d v="1899-12-30T01:06:55"/>
    <x v="6"/>
    <x v="6"/>
  </r>
  <r>
    <s v="045B136C0157F377"/>
    <x v="0"/>
    <d v="2023-07-26T00:56:45"/>
    <d v="2023-07-26T01:14:39"/>
    <s v="Kingsbury St &amp; Kinzie St"/>
    <s v="KA1503000043"/>
    <s v="Kingsbury St &amp; Kinzie St"/>
    <s v="KA1503000043"/>
    <n v="41.889339"/>
    <n v="-87.638403999999994"/>
    <n v="41.888840000000002"/>
    <n v="-87.638772000000003"/>
    <x v="1"/>
    <d v="1899-12-30T00:17:54"/>
    <x v="1"/>
    <x v="1"/>
  </r>
  <r>
    <s v="03480A3F021DD018"/>
    <x v="2"/>
    <d v="2023-07-26T03:33:30"/>
    <d v="2023-07-26T03:40:49"/>
    <s v="Clinton St &amp; Madison St"/>
    <s v="TA1305000032"/>
    <s v="Clinton St &amp; Madison St"/>
    <s v="TA1305000032"/>
    <n v="41.881791"/>
    <n v="-87.641180000000006"/>
    <n v="41.882095"/>
    <n v="-87.641249999999999"/>
    <x v="0"/>
    <d v="1899-12-30T00:07:19"/>
    <x v="1"/>
    <x v="1"/>
  </r>
  <r>
    <s v="00FE61E3037B0206"/>
    <x v="0"/>
    <d v="2023-07-26T14:27:31"/>
    <d v="2023-07-26T15:07:36"/>
    <s v="Broadway &amp; Barry Ave"/>
    <n v="13137"/>
    <s v="Broadway &amp; Barry Ave"/>
    <n v="13137"/>
    <n v="41.937781000000001"/>
    <n v="-87.644229999999993"/>
    <n v="41.937514"/>
    <n v="-87.644566999999995"/>
    <x v="1"/>
    <d v="1899-12-30T00:40:05"/>
    <x v="1"/>
    <x v="1"/>
  </r>
  <r>
    <s v="0565B98305D695DC"/>
    <x v="2"/>
    <d v="2023-07-27T01:31:41"/>
    <d v="2023-07-27T02:06:32"/>
    <s v="Clark St &amp; Elm St"/>
    <s v="TA1307000024"/>
    <s v="Streeter Dr &amp; Grand Ave"/>
    <n v="13022"/>
    <n v="41.902641000000003"/>
    <n v="-87.631424999999993"/>
    <n v="41.892178000000001"/>
    <n v="-87.612486000000004"/>
    <x v="0"/>
    <d v="1899-12-30T00:34:51"/>
    <x v="2"/>
    <x v="2"/>
  </r>
  <r>
    <s v="033F1A17055F6430"/>
    <x v="2"/>
    <d v="2023-07-27T04:58:57"/>
    <d v="2023-07-27T05:12:12"/>
    <s v="Clark St &amp; Elm St"/>
    <s v="TA1307000024"/>
    <s v="Dearborn St &amp; Erie St"/>
    <n v="13045"/>
    <n v="41.902864000000001"/>
    <n v="-87.631710999999996"/>
    <n v="41.894129999999997"/>
    <n v="-87.629085000000003"/>
    <x v="0"/>
    <d v="1899-12-30T00:13:15"/>
    <x v="2"/>
    <x v="2"/>
  </r>
  <r>
    <s v="05793DCC0325545C"/>
    <x v="2"/>
    <d v="2023-07-27T18:17:29"/>
    <d v="2023-07-27T18:28:44"/>
    <s v="Canal St &amp; Adams St"/>
    <n v="13011"/>
    <s v="Canal St &amp; Adams St"/>
    <n v="13011"/>
    <n v="41.879736000000001"/>
    <n v="-87.639928999999995"/>
    <n v="41.879137999999998"/>
    <n v="-87.640283999999994"/>
    <x v="0"/>
    <d v="1899-12-30T00:11:15"/>
    <x v="2"/>
    <x v="2"/>
  </r>
  <r>
    <s v="0329441705DCCE64"/>
    <x v="0"/>
    <d v="2023-07-27T23:51:48"/>
    <d v="2023-07-27T23:55:59"/>
    <s v="Wells St &amp; Elm St"/>
    <s v="KA1504000135"/>
    <s v="Wells St &amp; Elm St"/>
    <s v="KA1504000135"/>
    <n v="41.902844999999999"/>
    <n v="-87.634304999999998"/>
    <n v="41.902968000000001"/>
    <n v="-87.634466000000003"/>
    <x v="0"/>
    <d v="1899-12-30T00:04:11"/>
    <x v="2"/>
    <x v="2"/>
  </r>
  <r>
    <s v="033C410E01D839BB"/>
    <x v="0"/>
    <d v="2023-07-28T04:15:31"/>
    <d v="2023-07-28T04:31:32"/>
    <s v="Broadway &amp; Barry Ave"/>
    <n v="13137"/>
    <s v="Broadway &amp; Barry Ave"/>
    <n v="13137"/>
    <n v="41.937761999999999"/>
    <n v="-87.643772999999996"/>
    <n v="41.937229000000002"/>
    <n v="-87.644437999999994"/>
    <x v="1"/>
    <d v="1899-12-30T00:16:01"/>
    <x v="3"/>
    <x v="3"/>
  </r>
  <r>
    <s v="030363C604BE4C19"/>
    <x v="0"/>
    <d v="2023-07-29T04:48:10"/>
    <d v="2023-07-29T05:49:10"/>
    <s v="Kingsbury St &amp; Kinzie St"/>
    <s v="KA1503000043"/>
    <s v="Dearborn St &amp; Erie St"/>
    <n v="13045"/>
    <n v="41.889468000000001"/>
    <n v="-87.638403999999994"/>
    <n v="41.894004000000002"/>
    <n v="-87.629756999999998"/>
    <x v="0"/>
    <d v="1899-12-30T01:01:00"/>
    <x v="4"/>
    <x v="4"/>
  </r>
  <r>
    <s v="05A1B60901D4B9F5"/>
    <x v="0"/>
    <d v="2023-07-29T13:05:13"/>
    <d v="2023-07-29T14:38:41"/>
    <s v="Canal St &amp; Adams St"/>
    <n v="13011"/>
    <s v="Michigan Ave &amp; Oak St"/>
    <n v="13042"/>
    <n v="41.879348999999998"/>
    <n v="-87.640020000000007"/>
    <n v="41.900525999999999"/>
    <n v="-87.623455000000007"/>
    <x v="1"/>
    <d v="1899-12-30T01:33:28"/>
    <x v="4"/>
    <x v="4"/>
  </r>
  <r>
    <s v="03614C4301A4E700"/>
    <x v="2"/>
    <d v="2023-07-29T13:32:40"/>
    <d v="2023-07-29T13:41:24"/>
    <s v="Broadway &amp; Barry Ave"/>
    <n v="13137"/>
    <s v="Millennium Park"/>
    <n v="13008"/>
    <n v="41.938077999999997"/>
    <n v="-87.643797000000006"/>
    <n v="41.881377999999998"/>
    <n v="-87.623948999999996"/>
    <x v="0"/>
    <d v="1899-12-30T00:08:44"/>
    <x v="4"/>
    <x v="4"/>
  </r>
  <r>
    <s v="034DAC58046EDD3C"/>
    <x v="0"/>
    <d v="2023-07-29T23:12:29"/>
    <d v="2023-07-30T00:49:00"/>
    <s v="DuSable Harbor"/>
    <s v="KA1503000064"/>
    <s v="Columbus Dr &amp; Randolph St"/>
    <n v="13263"/>
    <n v="41.886952000000001"/>
    <n v="-87.612639000000001"/>
    <n v="41.884990999999999"/>
    <n v="-87.619975999999994"/>
    <x v="0"/>
    <d v="1899-12-30T01:36:31"/>
    <x v="4"/>
    <x v="4"/>
  </r>
  <r>
    <s v="020BC26900E5BB99"/>
    <x v="2"/>
    <d v="2023-07-30T10:31:04"/>
    <d v="2023-07-30T10:36:30"/>
    <s v="Streeter Dr &amp; Grand Ave"/>
    <n v="13022"/>
    <s v="Streeter Dr &amp; Grand Ave"/>
    <n v="13022"/>
    <n v="41.89199"/>
    <n v="-87.611879000000002"/>
    <n v="41.892189000000002"/>
    <n v="-87.612140999999994"/>
    <x v="0"/>
    <d v="1899-12-30T00:05:26"/>
    <x v="0"/>
    <x v="0"/>
  </r>
  <r>
    <s v="0456886A049AC7D8"/>
    <x v="0"/>
    <d v="2023-07-31T01:28:15"/>
    <d v="2023-07-31T01:42:23"/>
    <s v="Streeter Dr &amp; Grand Ave"/>
    <n v="13022"/>
    <s v="Streeter Dr &amp; Grand Ave"/>
    <n v="13022"/>
    <n v="41.892046999999998"/>
    <n v="-87.612343999999993"/>
    <n v="41.892024999999997"/>
    <n v="-87.612236999999993"/>
    <x v="1"/>
    <d v="1899-12-30T00:14:08"/>
    <x v="5"/>
    <x v="5"/>
  </r>
  <r>
    <s v="0551F8C9017175EC"/>
    <x v="2"/>
    <d v="2023-07-31T09:40:44"/>
    <d v="2023-07-31T09:55:52"/>
    <s v="Columbus Dr &amp; Randolph St"/>
    <n v="13263"/>
    <s v="Kingsbury St &amp; Kinzie St"/>
    <s v="KA1503000043"/>
    <n v="41.884231999999997"/>
    <n v="-87.619518999999997"/>
    <n v="41.88926"/>
    <n v="-87.638426999999993"/>
    <x v="1"/>
    <d v="1899-12-30T00:15:08"/>
    <x v="5"/>
    <x v="5"/>
  </r>
  <r>
    <n v="417567905823258"/>
    <x v="0"/>
    <d v="2023-08-02T03:55:31"/>
    <d v="2023-08-02T04:08:19"/>
    <s v="Broadway &amp; Barry Ave"/>
    <n v="13137"/>
    <s v="Dearborn St &amp; Erie St"/>
    <n v="13045"/>
    <n v="41.937897999999997"/>
    <n v="-87.643737000000002"/>
    <n v="41.894339000000002"/>
    <n v="-87.628899000000004"/>
    <x v="0"/>
    <d v="1899-12-30T00:12:48"/>
    <x v="1"/>
    <x v="1"/>
  </r>
  <r>
    <s v="0427C1FA0141EF0C"/>
    <x v="2"/>
    <d v="2023-08-03T04:43:08"/>
    <d v="2023-08-03T05:26:22"/>
    <s v="Dearborn St &amp; Erie St"/>
    <n v="13045"/>
    <s v="Dearborn St &amp; Erie St"/>
    <n v="13045"/>
    <n v="41.893853"/>
    <n v="-87.628912"/>
    <n v="41.894261999999998"/>
    <n v="-87.629261"/>
    <x v="1"/>
    <d v="1899-12-30T00:43:14"/>
    <x v="2"/>
    <x v="2"/>
  </r>
  <r>
    <s v="03BCD1DE0525A611"/>
    <x v="0"/>
    <d v="2023-08-04T00:11:33"/>
    <d v="2023-08-04T00:34:35"/>
    <s v="Wells St &amp; Elm St"/>
    <s v="KA1504000135"/>
    <s v="DuSable Harbor"/>
    <s v="KA1503000064"/>
    <n v="41.903463000000002"/>
    <n v="-87.634281000000001"/>
    <n v="41.887129999999999"/>
    <n v="-87.613039000000001"/>
    <x v="0"/>
    <d v="1899-12-30T00:23:02"/>
    <x v="3"/>
    <x v="3"/>
  </r>
  <r>
    <s v="039220BA0415E8C6"/>
    <x v="2"/>
    <d v="2023-08-04T00:30:02"/>
    <d v="2023-08-04T00:40:27"/>
    <s v="Millennium Park"/>
    <n v="13008"/>
    <s v="Clark St &amp; Elm St"/>
    <s v="TA1307000024"/>
    <n v="41.881163999999998"/>
    <n v="-87.624427999999995"/>
    <n v="41.902946999999998"/>
    <n v="-87.631063999999995"/>
    <x v="0"/>
    <d v="1899-12-30T00:10:25"/>
    <x v="3"/>
    <x v="3"/>
  </r>
  <r>
    <s v="01A88F8D02C715DE"/>
    <x v="2"/>
    <d v="2023-08-04T05:15:56"/>
    <d v="2023-08-04T05:58:16"/>
    <s v="Clinton St &amp; Madison St"/>
    <s v="TA1305000032"/>
    <s v="Clark St &amp; Elm St"/>
    <s v="TA1307000024"/>
    <n v="41.882328999999999"/>
    <n v="-87.640601000000004"/>
    <n v="41.903080000000003"/>
    <n v="-87.631504000000007"/>
    <x v="0"/>
    <d v="1899-12-30T00:42:20"/>
    <x v="3"/>
    <x v="3"/>
  </r>
  <r>
    <s v="0505E45D0338906E"/>
    <x v="2"/>
    <d v="2023-08-05T00:21:43"/>
    <d v="2023-08-05T00:28:55"/>
    <s v="Streeter Dr &amp; Grand Ave"/>
    <n v="13022"/>
    <s v="Streeter Dr &amp; Grand Ave"/>
    <n v="13022"/>
    <n v="41.892699"/>
    <n v="-87.611566999999994"/>
    <n v="41.892000000000003"/>
    <n v="-87.612335000000002"/>
    <x v="1"/>
    <d v="1899-12-30T00:07:12"/>
    <x v="4"/>
    <x v="4"/>
  </r>
  <r>
    <s v="0257323B05805C52"/>
    <x v="0"/>
    <d v="2023-08-05T07:04:03"/>
    <d v="2023-08-05T07:48:46"/>
    <s v="Wells St &amp; Concord Ln"/>
    <s v="TA1308000070"/>
    <s v="Columbus Dr &amp; Randolph St"/>
    <n v="13263"/>
    <n v="41.911816000000002"/>
    <n v="-87.634200000000007"/>
    <n v="41.884605000000001"/>
    <n v="-87.619681999999997"/>
    <x v="1"/>
    <d v="1899-12-30T00:44:43"/>
    <x v="4"/>
    <x v="4"/>
  </r>
  <r>
    <s v="045986A405AD458B"/>
    <x v="0"/>
    <d v="2023-08-05T22:26:40"/>
    <d v="2023-08-05T22:44:28"/>
    <s v="Columbus Dr &amp; Randolph St"/>
    <n v="13263"/>
    <s v="Wells St &amp; Elm St"/>
    <s v="KA1504000135"/>
    <n v="41.884548000000002"/>
    <n v="-87.619124999999997"/>
    <n v="41.903111000000003"/>
    <n v="-87.634812999999994"/>
    <x v="1"/>
    <d v="1899-12-30T00:17:48"/>
    <x v="4"/>
    <x v="4"/>
  </r>
  <r>
    <s v="01F9D9B902F5F474"/>
    <x v="0"/>
    <d v="2023-08-06T05:40:56"/>
    <d v="2023-08-06T06:06:32"/>
    <s v="Wells St &amp; Elm St"/>
    <s v="KA1504000135"/>
    <s v="Michigan Ave &amp; Oak St"/>
    <n v="13042"/>
    <n v="41.903713000000003"/>
    <n v="-87.634411"/>
    <n v="41.900832000000001"/>
    <n v="-87.623501000000005"/>
    <x v="1"/>
    <d v="1899-12-30T00:25:36"/>
    <x v="0"/>
    <x v="0"/>
  </r>
  <r>
    <s v="052C613403731F71"/>
    <x v="1"/>
    <d v="2023-08-06T06:09:28"/>
    <d v="2023-08-06T06:37:58"/>
    <s v="Broadway &amp; Barry Ave"/>
    <n v="13137"/>
    <s v="DuSable Harbor"/>
    <s v="KA1503000064"/>
    <n v="41.937424999999998"/>
    <n v="-87.644065999999995"/>
    <n v="41.886602000000003"/>
    <n v="-87.61318"/>
    <x v="0"/>
    <d v="1899-12-30T00:28:30"/>
    <x v="0"/>
    <x v="0"/>
  </r>
  <r>
    <s v="050E76EE050DEA75"/>
    <x v="0"/>
    <d v="2023-08-08T17:54:41"/>
    <d v="2023-08-08T18:08:25"/>
    <s v="Clinton St &amp; Madison St"/>
    <s v="TA1305000032"/>
    <s v="Dearborn St &amp; Erie St"/>
    <n v="13045"/>
    <n v="41.882506999999997"/>
    <n v="-87.641418999999999"/>
    <n v="41.894182000000001"/>
    <n v="-87.628872999999999"/>
    <x v="0"/>
    <d v="1899-12-30T00:13:44"/>
    <x v="6"/>
    <x v="6"/>
  </r>
  <r>
    <s v="02B4C14C01FF59FA"/>
    <x v="2"/>
    <d v="2023-08-08T18:05:08"/>
    <d v="2023-08-08T18:10:05"/>
    <s v="Clark St &amp; Elm St"/>
    <s v="TA1307000024"/>
    <s v="DuSable Harbor"/>
    <s v="KA1503000064"/>
    <n v="41.902523000000002"/>
    <n v="-87.631726999999998"/>
    <n v="41.887168000000003"/>
    <n v="-87.612854999999996"/>
    <x v="0"/>
    <d v="1899-12-30T00:04:57"/>
    <x v="6"/>
    <x v="6"/>
  </r>
  <r>
    <s v="0183E4F0020A02D0"/>
    <x v="0"/>
    <d v="2023-08-08T22:14:36"/>
    <d v="2023-08-08T22:30:36"/>
    <s v="Michigan Ave &amp; Oak St"/>
    <n v="13042"/>
    <s v="Clark St &amp; Elm St"/>
    <s v="TA1307000024"/>
    <n v="41.900948999999997"/>
    <n v="-87.623290999999995"/>
    <n v="41.902715000000001"/>
    <n v="-87.631107999999998"/>
    <x v="1"/>
    <d v="1899-12-30T00:16:00"/>
    <x v="6"/>
    <x v="6"/>
  </r>
  <r>
    <s v="023FD21D00FA9C17"/>
    <x v="0"/>
    <d v="2023-08-08T23:02:34"/>
    <d v="2023-08-08T23:09:47"/>
    <s v="Broadway &amp; Barry Ave"/>
    <n v="13137"/>
    <s v="Theater on the Lake"/>
    <s v="TA1308000001"/>
    <n v="41.937511000000001"/>
    <n v="-87.643753000000004"/>
    <n v="41.926045000000002"/>
    <n v="-87.631178000000006"/>
    <x v="0"/>
    <d v="1899-12-30T00:07:13"/>
    <x v="6"/>
    <x v="6"/>
  </r>
  <r>
    <s v="00D20981059D514B"/>
    <x v="1"/>
    <d v="2023-08-09T14:18:29"/>
    <d v="2023-08-09T14:36:15"/>
    <s v="DuSable Harbor"/>
    <s v="KA1503000064"/>
    <s v="Dearborn St &amp; Erie St"/>
    <n v="13045"/>
    <n v="41.887067000000002"/>
    <n v="-87.612660000000005"/>
    <n v="41.893748000000002"/>
    <n v="-87.629452999999998"/>
    <x v="0"/>
    <d v="1899-12-30T00:17:46"/>
    <x v="1"/>
    <x v="1"/>
  </r>
  <r>
    <s v="042CAFC7057B21AF"/>
    <x v="2"/>
    <d v="2023-08-10T03:37:24"/>
    <d v="2023-08-10T03:54:57"/>
    <s v="Clark St &amp; Elm St"/>
    <s v="TA1307000024"/>
    <s v="Millennium Park"/>
    <n v="13008"/>
    <n v="41.903081"/>
    <n v="-87.631015000000005"/>
    <n v="41.881345000000003"/>
    <n v="-87.623866000000007"/>
    <x v="1"/>
    <d v="1899-12-30T00:17:33"/>
    <x v="2"/>
    <x v="2"/>
  </r>
  <r>
    <s v="01FBC612041121BB"/>
    <x v="0"/>
    <d v="2023-08-12T12:50:43"/>
    <d v="2023-08-12T12:54:53"/>
    <s v="Michigan Ave &amp; Oak St"/>
    <n v="13042"/>
    <s v="Michigan Ave &amp; Oak St"/>
    <n v="13042"/>
    <n v="41.901102999999999"/>
    <n v="-87.623518000000004"/>
    <n v="41.900959999999998"/>
    <n v="-87.623734999999996"/>
    <x v="0"/>
    <d v="1899-12-30T00:04:10"/>
    <x v="4"/>
    <x v="4"/>
  </r>
  <r>
    <s v="02F3A382054B3856"/>
    <x v="0"/>
    <d v="2023-08-12T21:03:07"/>
    <d v="2023-08-12T21:13:30"/>
    <s v="Canal St &amp; Adams St"/>
    <n v="13011"/>
    <s v="Dearborn St &amp; Erie St"/>
    <n v="13045"/>
    <n v="41.878943"/>
    <n v="-87.639939999999996"/>
    <n v="41.893844999999999"/>
    <n v="-87.629233999999997"/>
    <x v="0"/>
    <d v="1899-12-30T00:10:23"/>
    <x v="4"/>
    <x v="4"/>
  </r>
  <r>
    <s v="0479CF98053FA9C5"/>
    <x v="0"/>
    <d v="2023-08-12T21:03:17"/>
    <d v="2023-08-12T21:07:52"/>
    <s v="Columbus Dr &amp; Randolph St"/>
    <n v="13263"/>
    <s v="Wells St &amp; Concord Ln"/>
    <s v="TA1308000070"/>
    <n v="41.885030999999998"/>
    <n v="-87.619774000000007"/>
    <n v="41.912609000000003"/>
    <n v="-87.634810999999999"/>
    <x v="0"/>
    <d v="1899-12-30T00:04:35"/>
    <x v="4"/>
    <x v="4"/>
  </r>
  <r>
    <s v="059F554D024B78CC"/>
    <x v="0"/>
    <d v="2023-08-13T01:49:26"/>
    <d v="2023-08-13T02:40:42"/>
    <s v="Broadway &amp; Barry Ave"/>
    <n v="13137"/>
    <s v="Canal St &amp; Adams St"/>
    <n v="13011"/>
    <n v="41.937091000000002"/>
    <n v="-87.643778999999995"/>
    <n v="41.878883000000002"/>
    <n v="-87.640120999999994"/>
    <x v="0"/>
    <d v="1899-12-30T00:51:16"/>
    <x v="0"/>
    <x v="0"/>
  </r>
  <r>
    <s v="012D21200318EE1F"/>
    <x v="2"/>
    <d v="2023-08-13T21:20:40"/>
    <d v="2023-08-13T21:30:12"/>
    <s v="Clinton St &amp; Madison St"/>
    <s v="TA1305000032"/>
    <s v="Clinton St &amp; Madison St"/>
    <s v="TA1305000032"/>
    <n v="41.882139000000002"/>
    <n v="-87.641433000000006"/>
    <n v="41.882309999999997"/>
    <n v="-87.640877000000003"/>
    <x v="0"/>
    <d v="1899-12-30T00:09:32"/>
    <x v="0"/>
    <x v="0"/>
  </r>
  <r>
    <s v="051359CF0524281B"/>
    <x v="0"/>
    <d v="2023-08-14T02:16:56"/>
    <d v="2023-08-14T02:31:19"/>
    <s v="Clinton St &amp; Madison St"/>
    <s v="TA1305000032"/>
    <s v="Clinton St &amp; Madison St"/>
    <s v="TA1305000032"/>
    <n v="41.882477000000002"/>
    <n v="-87.640940000000001"/>
    <n v="41.882323"/>
    <n v="-87.640823999999995"/>
    <x v="0"/>
    <d v="1899-12-30T00:14:23"/>
    <x v="5"/>
    <x v="5"/>
  </r>
  <r>
    <s v="042D39F4053D9372"/>
    <x v="0"/>
    <d v="2023-08-14T21:44:25"/>
    <d v="2023-08-14T21:49:22"/>
    <s v="Michigan Ave &amp; Oak St"/>
    <n v="13042"/>
    <s v="Clark St &amp; Elm St"/>
    <s v="TA1307000024"/>
    <n v="41.900517999999998"/>
    <n v="-87.623307999999994"/>
    <n v="41.903357"/>
    <n v="-87.630852000000004"/>
    <x v="0"/>
    <d v="1899-12-30T00:04:57"/>
    <x v="5"/>
    <x v="5"/>
  </r>
  <r>
    <s v="043E7BAE047B3856"/>
    <x v="2"/>
    <d v="2023-08-15T20:05:39"/>
    <d v="2023-08-15T20:36:41"/>
    <s v="Broadway &amp; Barry Ave"/>
    <n v="13137"/>
    <s v="Wells St &amp; Elm St"/>
    <s v="KA1504000135"/>
    <n v="41.938025000000003"/>
    <n v="-87.644514999999998"/>
    <n v="41.902976000000002"/>
    <n v="-87.634044000000003"/>
    <x v="1"/>
    <d v="1899-12-30T00:31:02"/>
    <x v="6"/>
    <x v="6"/>
  </r>
  <r>
    <s v="02719BE205C463AE"/>
    <x v="0"/>
    <d v="2023-08-16T04:59:40"/>
    <d v="2023-08-16T05:07:20"/>
    <s v="Clinton St &amp; Madison St"/>
    <s v="TA1305000032"/>
    <s v="Clinton St &amp; Madison St"/>
    <s v="TA1305000032"/>
    <n v="41.882157999999997"/>
    <n v="-87.640845999999996"/>
    <n v="41.882112999999997"/>
    <n v="-87.640696000000005"/>
    <x v="1"/>
    <d v="1899-12-30T00:07:40"/>
    <x v="1"/>
    <x v="1"/>
  </r>
  <r>
    <s v="03985C3504DD6AC0"/>
    <x v="2"/>
    <d v="2023-08-16T06:16:48"/>
    <d v="2023-08-16T06:21:57"/>
    <s v="Clark St &amp; Elm St"/>
    <s v="TA1307000024"/>
    <s v="Clark St &amp; Elm St"/>
    <s v="TA1307000024"/>
    <n v="41.903160999999997"/>
    <n v="-87.631538000000006"/>
    <n v="41.903384000000003"/>
    <n v="-87.630942000000005"/>
    <x v="0"/>
    <d v="1899-12-30T00:05:09"/>
    <x v="1"/>
    <x v="1"/>
  </r>
  <r>
    <s v="0380B409029FB6C2"/>
    <x v="2"/>
    <d v="2023-08-16T09:50:21"/>
    <d v="2023-08-16T10:04:28"/>
    <s v="Broadway &amp; Barry Ave"/>
    <n v="13137"/>
    <s v="Michigan Ave &amp; Oak St"/>
    <n v="13042"/>
    <n v="41.937460999999999"/>
    <n v="-87.644261"/>
    <n v="41.901359999999997"/>
    <n v="-87.623669000000007"/>
    <x v="0"/>
    <d v="1899-12-30T00:14:07"/>
    <x v="1"/>
    <x v="1"/>
  </r>
  <r>
    <s v="053C0B8C033A97B3"/>
    <x v="2"/>
    <d v="2023-08-17T05:10:59"/>
    <d v="2023-08-17T06:10:56"/>
    <s v="Canal St &amp; Adams St"/>
    <n v="13011"/>
    <s v="Broadway &amp; Barry Ave"/>
    <n v="13137"/>
    <n v="41.879067999999997"/>
    <n v="-87.639554000000004"/>
    <n v="41.937170999999999"/>
    <n v="-87.643606000000005"/>
    <x v="0"/>
    <d v="1899-12-30T00:59:57"/>
    <x v="2"/>
    <x v="2"/>
  </r>
  <r>
    <s v="02A7CD41026CA6B6"/>
    <x v="1"/>
    <d v="2023-08-19T15:32:57"/>
    <d v="2023-08-19T15:44:34"/>
    <s v="State St &amp; 33rd St"/>
    <n v="21213"/>
    <s v="Michigan Ave &amp; Oak St"/>
    <n v="13042"/>
    <n v="41.834755999999999"/>
    <n v="-87.626187999999999"/>
    <n v="41.901420999999999"/>
    <n v="-87.623641000000006"/>
    <x v="0"/>
    <d v="1899-12-30T00:11:37"/>
    <x v="4"/>
    <x v="4"/>
  </r>
  <r>
    <s v="0580BC0F0536AA44"/>
    <x v="2"/>
    <d v="2023-08-19T19:49:11"/>
    <d v="2023-08-19T20:04:55"/>
    <s v="Wells St &amp; Concord Ln"/>
    <s v="TA1308000070"/>
    <s v="Wells St &amp; Concord Ln"/>
    <s v="TA1308000070"/>
    <n v="41.911759000000004"/>
    <n v="-87.634343000000001"/>
    <n v="41.912557"/>
    <n v="-87.634694999999994"/>
    <x v="1"/>
    <d v="1899-12-30T00:15:44"/>
    <x v="4"/>
    <x v="4"/>
  </r>
  <r>
    <s v="03CD588E02B03DE8"/>
    <x v="0"/>
    <d v="2023-08-20T16:52:50"/>
    <d v="2023-08-20T17:04:46"/>
    <s v="Clinton St &amp; Madison St"/>
    <s v="TA1305000032"/>
    <s v="Wells St &amp; Concord Ln"/>
    <s v="TA1308000070"/>
    <n v="41.882254000000003"/>
    <n v="-87.641462000000004"/>
    <n v="41.912018000000003"/>
    <n v="-87.634668000000005"/>
    <x v="0"/>
    <d v="1899-12-30T00:11:56"/>
    <x v="0"/>
    <x v="0"/>
  </r>
  <r>
    <s v="04BC2CB602E6215C"/>
    <x v="2"/>
    <d v="2023-08-21T15:16:12"/>
    <d v="2023-08-21T15:45:04"/>
    <s v="Michigan Ave &amp; Oak St"/>
    <n v="13042"/>
    <s v="Theater on the Lake"/>
    <s v="TA1308000001"/>
    <n v="41.900647999999997"/>
    <n v="-87.623557000000005"/>
    <n v="41.926644000000003"/>
    <n v="-87.630880000000005"/>
    <x v="1"/>
    <d v="1899-12-30T00:28:52"/>
    <x v="5"/>
    <x v="5"/>
  </r>
  <r>
    <s v="030CA37F00A70AC8"/>
    <x v="1"/>
    <d v="2023-08-22T15:44:46"/>
    <d v="2023-08-22T16:00:42"/>
    <s v="Broadway &amp; Barry Ave"/>
    <n v="13137"/>
    <s v="Clark St &amp; Elm St"/>
    <s v="TA1307000024"/>
    <n v="41.937144000000004"/>
    <n v="-87.644262999999995"/>
    <n v="41.902540000000002"/>
    <n v="-87.630804999999995"/>
    <x v="0"/>
    <d v="1899-12-30T00:15:56"/>
    <x v="6"/>
    <x v="6"/>
  </r>
  <r>
    <s v="03B087E30389A51A"/>
    <x v="2"/>
    <d v="2023-08-23T17:16:57"/>
    <d v="2023-08-23T17:28:27"/>
    <s v="Wells St &amp; Concord Ln"/>
    <s v="TA1308000070"/>
    <s v="Wells St &amp; Concord Ln"/>
    <s v="TA1308000070"/>
    <n v="41.912452999999999"/>
    <n v="-87.634927000000005"/>
    <n v="41.912542000000002"/>
    <n v="-87.635154999999997"/>
    <x v="0"/>
    <d v="1899-12-30T00:11:30"/>
    <x v="1"/>
    <x v="1"/>
  </r>
  <r>
    <s v="03072A5D05C52C85"/>
    <x v="0"/>
    <d v="2023-08-23T18:19:32"/>
    <d v="2023-08-23T18:24:42"/>
    <s v="Clinton St &amp; Madison St"/>
    <s v="TA1305000032"/>
    <s v="Kingsbury St &amp; Kinzie St"/>
    <s v="KA1503000043"/>
    <n v="41.881984000000003"/>
    <n v="-87.640604999999994"/>
    <n v="41.888874000000001"/>
    <n v="-87.638054999999994"/>
    <x v="0"/>
    <d v="1899-12-30T00:05:10"/>
    <x v="1"/>
    <x v="1"/>
  </r>
  <r>
    <s v="037D62D30237C44A"/>
    <x v="0"/>
    <d v="2023-08-25T00:28:20"/>
    <d v="2023-08-25T01:31:56"/>
    <s v="State St &amp; 33rd St"/>
    <n v="21213"/>
    <s v="Michigan Ave &amp; Oak St"/>
    <n v="13042"/>
    <n v="41.834508"/>
    <n v="-87.625328999999994"/>
    <n v="41.900869"/>
    <n v="-87.623383000000004"/>
    <x v="1"/>
    <d v="1899-12-30T01:03:36"/>
    <x v="3"/>
    <x v="3"/>
  </r>
  <r>
    <s v="00C0807C01DA650D"/>
    <x v="0"/>
    <d v="2023-08-25T14:00:20"/>
    <d v="2023-08-25T14:10:16"/>
    <s v="Wells St &amp; Elm St"/>
    <s v="KA1504000135"/>
    <s v="Michigan Ave &amp; Oak St"/>
    <n v="13042"/>
    <n v="41.903118999999997"/>
    <n v="-87.634377000000001"/>
    <n v="41.901060999999999"/>
    <n v="-87.623761000000002"/>
    <x v="0"/>
    <d v="1899-12-30T00:09:56"/>
    <x v="3"/>
    <x v="3"/>
  </r>
  <r>
    <s v="01DF6DF90445836C"/>
    <x v="0"/>
    <d v="2023-08-25T22:29:28"/>
    <d v="2023-08-25T22:37:26"/>
    <s v="DuSable Harbor"/>
    <s v="KA1503000064"/>
    <s v="Canal St &amp; Adams St"/>
    <n v="13011"/>
    <n v="41.887093"/>
    <n v="-87.612449999999995"/>
    <n v="41.878977999999996"/>
    <n v="-87.639531000000005"/>
    <x v="0"/>
    <d v="1899-12-30T00:07:58"/>
    <x v="3"/>
    <x v="3"/>
  </r>
  <r>
    <s v="03B4C04403174F3F"/>
    <x v="2"/>
    <d v="2023-08-27T06:58:43"/>
    <d v="2023-08-27T07:06:05"/>
    <s v="Streeter Dr &amp; Grand Ave"/>
    <n v="13022"/>
    <s v="Kingsbury St &amp; Kinzie St"/>
    <s v="KA1503000043"/>
    <n v="41.892083999999997"/>
    <n v="-87.611721000000003"/>
    <n v="41.888733999999999"/>
    <n v="-87.638587000000001"/>
    <x v="0"/>
    <d v="1899-12-30T00:07:22"/>
    <x v="0"/>
    <x v="0"/>
  </r>
  <r>
    <s v="00A320DA02D64BA0"/>
    <x v="2"/>
    <d v="2023-08-27T07:25:26"/>
    <d v="2023-08-27T07:40:48"/>
    <s v="Canal St &amp; Adams St"/>
    <n v="13011"/>
    <s v="Streeter Dr &amp; Grand Ave"/>
    <n v="13022"/>
    <n v="41.879303999999998"/>
    <n v="-87.639607999999996"/>
    <n v="41.892361000000001"/>
    <n v="-87.611582999999996"/>
    <x v="1"/>
    <d v="1899-12-30T00:15:22"/>
    <x v="0"/>
    <x v="0"/>
  </r>
  <r>
    <s v="046605240460F6B0"/>
    <x v="2"/>
    <d v="2023-08-27T10:12:38"/>
    <d v="2023-08-27T10:37:31"/>
    <s v="Clark St &amp; Elm St"/>
    <s v="TA1307000024"/>
    <s v="Michigan Ave &amp; Oak St"/>
    <n v="13042"/>
    <n v="41.902766"/>
    <n v="-87.631235000000004"/>
    <n v="41.900593000000001"/>
    <n v="-87.623585000000006"/>
    <x v="0"/>
    <d v="1899-12-30T00:24:53"/>
    <x v="0"/>
    <x v="0"/>
  </r>
  <r>
    <s v="05A15DAE03E7BE18"/>
    <x v="0"/>
    <d v="2023-08-31T05:14:44"/>
    <d v="2023-08-31T05:25:39"/>
    <s v="Streeter Dr &amp; Grand Ave"/>
    <n v="13022"/>
    <s v="DuSable Harbor"/>
    <s v="KA1503000064"/>
    <n v="41.892764999999997"/>
    <n v="-87.612392999999997"/>
    <n v="41.887070000000001"/>
    <n v="-87.612932000000001"/>
    <x v="1"/>
    <d v="1899-12-30T00:10:55"/>
    <x v="2"/>
    <x v="2"/>
  </r>
  <r>
    <s v="037877B70224A1E8"/>
    <x v="0"/>
    <d v="2023-08-31T08:34:28"/>
    <d v="2023-08-31T08:44:42"/>
    <s v="Streeter Dr &amp; Grand Ave"/>
    <n v="13022"/>
    <s v="Streeter Dr &amp; Grand Ave"/>
    <n v="13022"/>
    <n v="41.892645999999999"/>
    <n v="-87.611816000000005"/>
    <n v="41.892521000000002"/>
    <n v="-87.612117999999995"/>
    <x v="0"/>
    <d v="1899-12-30T00:10:14"/>
    <x v="2"/>
    <x v="2"/>
  </r>
  <r>
    <s v="0582AF7D03332145"/>
    <x v="0"/>
    <d v="2023-09-02T17:06:45"/>
    <d v="2023-09-02T17:13:49"/>
    <s v="Clinton St &amp; Madison St"/>
    <s v="TA1305000032"/>
    <s v="Millennium Park"/>
    <n v="13008"/>
    <n v="41.882545"/>
    <n v="-87.641108000000003"/>
    <n v="41.881014999999998"/>
    <n v="-87.624450999999993"/>
    <x v="0"/>
    <d v="1899-12-30T00:07:04"/>
    <x v="4"/>
    <x v="4"/>
  </r>
  <r>
    <s v="01340706024B1208"/>
    <x v="0"/>
    <d v="2023-09-03T09:25:43"/>
    <d v="2023-09-03T10:17:40"/>
    <s v="Theater on the Lake"/>
    <s v="TA1308000001"/>
    <s v="DuSable Harbor"/>
    <s v="KA1503000064"/>
    <n v="41.925840000000001"/>
    <n v="-87.631009000000006"/>
    <n v="41.887149000000001"/>
    <n v="-87.612976000000003"/>
    <x v="1"/>
    <d v="1899-12-30T00:51:57"/>
    <x v="0"/>
    <x v="0"/>
  </r>
  <r>
    <s v="03A7FB9B054655DF"/>
    <x v="2"/>
    <d v="2023-09-03T10:15:23"/>
    <d v="2023-09-03T11:00:53"/>
    <s v="Wells St &amp; Elm St"/>
    <s v="KA1504000135"/>
    <s v="DuSable Harbor"/>
    <s v="KA1503000064"/>
    <n v="41.903607999999998"/>
    <n v="-87.633889999999994"/>
    <n v="41.887391999999998"/>
    <n v="-87.612678000000002"/>
    <x v="0"/>
    <d v="1899-12-30T00:45:30"/>
    <x v="0"/>
    <x v="0"/>
  </r>
  <r>
    <s v="0426921F029CD92F"/>
    <x v="0"/>
    <d v="2023-09-03T17:03:08"/>
    <d v="2023-09-03T17:26:53"/>
    <s v="Wells St &amp; Concord Ln"/>
    <s v="TA1308000070"/>
    <s v="Kingsbury St &amp; Kinzie St"/>
    <s v="KA1503000043"/>
    <n v="41.912118"/>
    <n v="-87.635034000000005"/>
    <n v="41.889401999999997"/>
    <n v="-87.638683"/>
    <x v="0"/>
    <d v="1899-12-30T00:23:45"/>
    <x v="0"/>
    <x v="0"/>
  </r>
  <r>
    <s v="022F03E1035D1B90"/>
    <x v="1"/>
    <d v="2023-09-04T16:39:12"/>
    <d v="2023-09-04T17:06:41"/>
    <s v="Millennium Park"/>
    <n v="13008"/>
    <s v="Streeter Dr &amp; Grand Ave"/>
    <n v="13022"/>
    <n v="41.880989999999997"/>
    <n v="-87.623802999999995"/>
    <n v="41.892738000000001"/>
    <n v="-87.611778999999999"/>
    <x v="0"/>
    <d v="1899-12-30T00:27:29"/>
    <x v="5"/>
    <x v="5"/>
  </r>
  <r>
    <s v="054B8F8800FDC34C"/>
    <x v="0"/>
    <d v="2023-09-04T16:50:25"/>
    <d v="2023-09-04T17:24:49"/>
    <s v="Dearborn St &amp; Erie St"/>
    <n v="13045"/>
    <s v="Canal St &amp; Adams St"/>
    <n v="13011"/>
    <n v="41.894115999999997"/>
    <n v="-87.628989000000004"/>
    <n v="41.878945000000002"/>
    <n v="-87.639487000000003"/>
    <x v="0"/>
    <d v="1899-12-30T00:34:24"/>
    <x v="5"/>
    <x v="5"/>
  </r>
  <r>
    <s v="045B1814011FDD39"/>
    <x v="2"/>
    <d v="2023-09-05T09:54:56"/>
    <d v="2023-09-05T10:04:15"/>
    <s v="Wells St &amp; Elm St"/>
    <s v="KA1504000135"/>
    <s v="Broadway &amp; Barry Ave"/>
    <n v="13137"/>
    <n v="41.902915"/>
    <n v="-87.633872999999994"/>
    <n v="41.937491000000001"/>
    <n v="-87.644131000000002"/>
    <x v="0"/>
    <d v="1899-12-30T00:09:19"/>
    <x v="6"/>
    <x v="6"/>
  </r>
  <r>
    <s v="03BDE283049AD7A1"/>
    <x v="2"/>
    <d v="2023-09-05T18:27:22"/>
    <d v="2023-09-05T19:03:52"/>
    <s v="Columbus Dr &amp; Randolph St"/>
    <n v="13263"/>
    <s v="Wells St &amp; Elm St"/>
    <s v="KA1504000135"/>
    <n v="41.884228"/>
    <n v="-87.619603999999995"/>
    <n v="41.903244999999998"/>
    <n v="-87.634769000000006"/>
    <x v="0"/>
    <d v="1899-12-30T00:36:30"/>
    <x v="6"/>
    <x v="6"/>
  </r>
  <r>
    <s v="05148993042F9F87"/>
    <x v="2"/>
    <d v="2023-09-06T18:04:47"/>
    <d v="2023-09-06T18:19:16"/>
    <s v="Dearborn St &amp; Erie St"/>
    <n v="13045"/>
    <s v="Theater on the Lake"/>
    <s v="TA1308000001"/>
    <n v="41.893678999999999"/>
    <n v="-87.629630000000006"/>
    <n v="41.925961000000001"/>
    <n v="-87.631276999999997"/>
    <x v="0"/>
    <d v="1899-12-30T00:14:29"/>
    <x v="1"/>
    <x v="1"/>
  </r>
  <r>
    <s v="02BF256A04FC86AA"/>
    <x v="0"/>
    <d v="2023-09-07T04:06:15"/>
    <d v="2023-09-07T04:12:08"/>
    <s v="Broadway &amp; Barry Ave"/>
    <n v="13137"/>
    <s v="Broadway &amp; Barry Ave"/>
    <n v="13137"/>
    <n v="41.937778999999999"/>
    <n v="-87.644186000000005"/>
    <n v="41.937956"/>
    <n v="-87.644082999999995"/>
    <x v="0"/>
    <d v="1899-12-30T00:05:53"/>
    <x v="2"/>
    <x v="2"/>
  </r>
  <r>
    <s v="01D8FBD200FF6B82"/>
    <x v="2"/>
    <d v="2023-09-08T05:18:11"/>
    <d v="2023-09-08T05:50:54"/>
    <s v="Canal St &amp; Adams St"/>
    <n v="13011"/>
    <s v="Clark St &amp; Elm St"/>
    <s v="TA1307000024"/>
    <n v="41.879358000000003"/>
    <n v="-87.640324000000007"/>
    <n v="41.903156000000003"/>
    <n v="-87.630847000000003"/>
    <x v="0"/>
    <d v="1899-12-30T00:32:43"/>
    <x v="3"/>
    <x v="3"/>
  </r>
  <r>
    <s v="0212C212053E0964"/>
    <x v="0"/>
    <d v="2023-09-09T06:13:15"/>
    <d v="2023-09-09T06:21:38"/>
    <s v="DuSable Harbor"/>
    <s v="KA1503000064"/>
    <s v="DuSable Harbor"/>
    <s v="KA1503000064"/>
    <n v="41.886961999999997"/>
    <n v="-87.612399999999994"/>
    <n v="41.887085999999996"/>
    <n v="-87.612767000000005"/>
    <x v="0"/>
    <d v="1899-12-30T00:08:23"/>
    <x v="4"/>
    <x v="4"/>
  </r>
  <r>
    <s v="05514F160334EC1E"/>
    <x v="2"/>
    <d v="2023-09-09T10:23:25"/>
    <d v="2023-09-09T11:16:16"/>
    <s v="Canal St &amp; Adams St"/>
    <n v="13011"/>
    <s v="Streeter Dr &amp; Grand Ave"/>
    <n v="13022"/>
    <n v="41.878847999999998"/>
    <n v="-87.639506999999995"/>
    <n v="41.892677999999997"/>
    <n v="-87.611909999999995"/>
    <x v="0"/>
    <d v="1899-12-30T00:52:51"/>
    <x v="4"/>
    <x v="4"/>
  </r>
  <r>
    <s v="033429AE04BA8B14"/>
    <x v="0"/>
    <d v="2023-09-10T04:52:35"/>
    <d v="2023-09-10T05:17:54"/>
    <s v="Wells St &amp; Elm St"/>
    <s v="KA1504000135"/>
    <s v="Wells St &amp; Elm St"/>
    <s v="KA1504000135"/>
    <n v="41.902939000000003"/>
    <n v="-87.634529999999998"/>
    <n v="41.903717999999998"/>
    <n v="-87.634127000000007"/>
    <x v="1"/>
    <d v="1899-12-30T00:25:19"/>
    <x v="0"/>
    <x v="0"/>
  </r>
  <r>
    <s v="039CADD403CCD48A"/>
    <x v="0"/>
    <d v="2023-09-10T11:41:48"/>
    <d v="2023-09-10T11:46:03"/>
    <s v="Michigan Ave &amp; Oak St"/>
    <n v="13042"/>
    <s v="Broadway &amp; Barry Ave"/>
    <n v="13137"/>
    <n v="41.900542000000002"/>
    <n v="-87.623979000000006"/>
    <n v="41.937753999999998"/>
    <n v="-87.644268999999994"/>
    <x v="0"/>
    <d v="1899-12-30T00:04:15"/>
    <x v="0"/>
    <x v="0"/>
  </r>
  <r>
    <s v="04F6CF5F03942C3D"/>
    <x v="0"/>
    <d v="2023-09-11T06:20:30"/>
    <d v="2023-09-11T06:26:29"/>
    <s v="Broadway &amp; Barry Ave"/>
    <n v="13137"/>
    <s v="Broadway &amp; Barry Ave"/>
    <n v="13137"/>
    <n v="41.937694"/>
    <n v="-87.644291999999993"/>
    <n v="41.937407999999998"/>
    <n v="-87.644526999999997"/>
    <x v="0"/>
    <d v="1899-12-30T00:05:59"/>
    <x v="5"/>
    <x v="5"/>
  </r>
  <r>
    <s v="05D647B8016BC176"/>
    <x v="0"/>
    <d v="2023-09-12T13:27:53"/>
    <d v="2023-09-12T13:36:29"/>
    <s v="Michigan Ave &amp; Oak St"/>
    <n v="13042"/>
    <s v="Canal St &amp; Adams St"/>
    <n v="13011"/>
    <n v="41.900697999999998"/>
    <n v="-87.624178000000001"/>
    <n v="41.878998000000003"/>
    <n v="-87.639681999999993"/>
    <x v="0"/>
    <d v="1899-12-30T00:08:36"/>
    <x v="6"/>
    <x v="6"/>
  </r>
  <r>
    <s v="0214BAF80355960D"/>
    <x v="2"/>
    <d v="2023-09-12T18:33:30"/>
    <d v="2023-09-12T18:42:00"/>
    <s v="Clinton St &amp; Madison St"/>
    <s v="TA1305000032"/>
    <s v="Clinton St &amp; Madison St"/>
    <s v="TA1305000032"/>
    <n v="41.881920999999998"/>
    <n v="-87.641073000000006"/>
    <n v="41.881824000000002"/>
    <n v="-87.641369999999995"/>
    <x v="0"/>
    <d v="1899-12-30T00:08:30"/>
    <x v="6"/>
    <x v="6"/>
  </r>
  <r>
    <s v="03FEFC0404A52133"/>
    <x v="0"/>
    <d v="2023-09-13T06:20:37"/>
    <d v="2023-09-13T06:38:01"/>
    <s v="DuSable Harbor"/>
    <s v="KA1503000064"/>
    <s v="Dearborn St &amp; Erie St"/>
    <n v="13045"/>
    <n v="41.886960999999999"/>
    <n v="-87.613163999999998"/>
    <n v="41.89414"/>
    <n v="-87.629645999999994"/>
    <x v="0"/>
    <d v="1899-12-30T00:17:24"/>
    <x v="1"/>
    <x v="1"/>
  </r>
  <r>
    <s v="0212358403133EEC"/>
    <x v="2"/>
    <d v="2023-09-13T11:25:14"/>
    <d v="2023-09-13T12:25:06"/>
    <s v="Kingsbury St &amp; Kinzie St"/>
    <s v="KA1503000043"/>
    <s v="Canal St &amp; Adams St"/>
    <n v="13011"/>
    <n v="41.888930999999999"/>
    <n v="-87.638992999999999"/>
    <n v="41.879294999999999"/>
    <n v="-87.639553000000006"/>
    <x v="1"/>
    <d v="1899-12-30T00:59:52"/>
    <x v="1"/>
    <x v="1"/>
  </r>
  <r>
    <s v="0443079404ABC097"/>
    <x v="2"/>
    <d v="2023-09-16T13:23:56"/>
    <d v="2023-09-16T13:38:43"/>
    <s v="Theater on the Lake"/>
    <s v="TA1308000001"/>
    <s v="Broadway &amp; Barry Ave"/>
    <n v="13137"/>
    <n v="41.926282999999998"/>
    <n v="-87.630555999999999"/>
    <n v="41.937939999999998"/>
    <n v="-87.643753000000004"/>
    <x v="1"/>
    <d v="1899-12-30T00:14:47"/>
    <x v="4"/>
    <x v="4"/>
  </r>
  <r>
    <s v="0425A8B20265C2F5"/>
    <x v="0"/>
    <d v="2023-09-17T02:27:05"/>
    <d v="2023-09-17T02:32:06"/>
    <s v="Clinton St &amp; Madison St"/>
    <s v="TA1305000032"/>
    <s v="Clinton St &amp; Madison St"/>
    <s v="TA1305000032"/>
    <n v="41.882275999999997"/>
    <n v="-87.641424000000001"/>
    <n v="41.881754000000001"/>
    <n v="-87.641143999999997"/>
    <x v="0"/>
    <d v="1899-12-30T00:05:01"/>
    <x v="0"/>
    <x v="0"/>
  </r>
  <r>
    <s v="05B26E6B04A7745F"/>
    <x v="0"/>
    <d v="2023-09-17T22:05:07"/>
    <d v="2023-09-17T22:15:57"/>
    <s v="Michigan Ave &amp; Oak St"/>
    <n v="13042"/>
    <s v="Michigan Ave &amp; Oak St"/>
    <n v="13042"/>
    <n v="41.900601999999999"/>
    <n v="-87.624223999999998"/>
    <n v="41.901085999999999"/>
    <n v="-87.624222000000003"/>
    <x v="0"/>
    <d v="1899-12-30T00:10:50"/>
    <x v="0"/>
    <x v="0"/>
  </r>
  <r>
    <s v="0218C2A703CDAEA7"/>
    <x v="2"/>
    <d v="2023-09-19T11:35:18"/>
    <d v="2023-09-19T12:03:45"/>
    <s v="Streeter Dr &amp; Grand Ave"/>
    <n v="13022"/>
    <s v="Streeter Dr &amp; Grand Ave"/>
    <n v="13022"/>
    <n v="41.891938000000003"/>
    <n v="-87.612209000000007"/>
    <n v="41.892017000000003"/>
    <n v="-87.611613000000006"/>
    <x v="0"/>
    <d v="1899-12-30T00:28:27"/>
    <x v="6"/>
    <x v="6"/>
  </r>
  <r>
    <s v="040EC7C705E09C3A"/>
    <x v="0"/>
    <d v="2023-09-20T12:26:38"/>
    <d v="2023-09-20T12:48:02"/>
    <s v="Canal St &amp; Adams St"/>
    <n v="13011"/>
    <s v="Columbus Dr &amp; Randolph St"/>
    <n v="13263"/>
    <n v="41.879092"/>
    <n v="-87.639461999999995"/>
    <n v="41.884757999999998"/>
    <n v="-87.619288999999995"/>
    <x v="1"/>
    <d v="1899-12-30T00:21:24"/>
    <x v="1"/>
    <x v="1"/>
  </r>
  <r>
    <s v="010850A9032EB1BB"/>
    <x v="2"/>
    <d v="2023-09-20T22:07:02"/>
    <d v="2023-09-20T22:23:28"/>
    <s v="DuSable Harbor"/>
    <s v="KA1503000064"/>
    <s v="DuSable Harbor"/>
    <s v="KA1503000064"/>
    <n v="41.886983000000001"/>
    <n v="-87.612714999999994"/>
    <n v="41.886508999999997"/>
    <n v="-87.612949"/>
    <x v="1"/>
    <d v="1899-12-30T00:16:26"/>
    <x v="1"/>
    <x v="1"/>
  </r>
  <r>
    <s v="01EC620600FBF5B8"/>
    <x v="2"/>
    <d v="2023-09-21T16:31:45"/>
    <d v="2023-09-21T16:54:56"/>
    <s v="Michigan Ave &amp; Oak St"/>
    <n v="13042"/>
    <s v="Canal St &amp; Adams St"/>
    <n v="13011"/>
    <n v="41.901038999999997"/>
    <n v="-87.623839000000004"/>
    <n v="41.879427"/>
    <n v="-87.640075999999993"/>
    <x v="0"/>
    <d v="1899-12-30T00:23:11"/>
    <x v="2"/>
    <x v="2"/>
  </r>
  <r>
    <s v="04BD5A250303CDBC"/>
    <x v="0"/>
    <d v="2023-09-22T13:19:32"/>
    <d v="2023-09-22T13:30:56"/>
    <s v="Columbus Dr &amp; Randolph St"/>
    <n v="13263"/>
    <s v="Michigan Ave &amp; Oak St"/>
    <n v="13042"/>
    <n v="41.884453999999998"/>
    <n v="-87.619291000000004"/>
    <n v="41.901058999999997"/>
    <n v="-87.624212999999997"/>
    <x v="0"/>
    <d v="1899-12-30T00:11:24"/>
    <x v="3"/>
    <x v="3"/>
  </r>
  <r>
    <s v="03B43442059FE5EB"/>
    <x v="2"/>
    <d v="2023-09-23T05:10:26"/>
    <d v="2023-09-23T05:51:26"/>
    <s v="Wells St &amp; Elm St"/>
    <s v="KA1504000135"/>
    <s v="Streeter Dr &amp; Grand Ave"/>
    <n v="13022"/>
    <n v="41.903357"/>
    <n v="-87.634732999999997"/>
    <n v="41.891810999999997"/>
    <n v="-87.612485000000007"/>
    <x v="0"/>
    <d v="1899-12-30T00:41:00"/>
    <x v="4"/>
    <x v="4"/>
  </r>
  <r>
    <s v="05B1E16F03998CA6"/>
    <x v="1"/>
    <d v="2023-09-24T19:05:41"/>
    <d v="2023-09-24T19:30:18"/>
    <s v="DuSable Harbor"/>
    <s v="KA1503000064"/>
    <s v="Theater on the Lake"/>
    <s v="TA1308000001"/>
    <n v="41.886727999999998"/>
    <n v="-87.613005000000001"/>
    <n v="41.926391000000002"/>
    <n v="-87.630436000000003"/>
    <x v="0"/>
    <d v="1899-12-30T00:24:37"/>
    <x v="0"/>
    <x v="0"/>
  </r>
  <r>
    <s v="023DD87C03905FCB"/>
    <x v="0"/>
    <d v="2023-09-27T07:19:01"/>
    <d v="2023-09-27T07:24:39"/>
    <s v="Broadway &amp; Barry Ave"/>
    <n v="13137"/>
    <s v="Theater on the Lake"/>
    <s v="TA1308000001"/>
    <n v="41.937842000000003"/>
    <n v="-87.643876000000006"/>
    <n v="41.925784"/>
    <n v="-87.630825000000002"/>
    <x v="0"/>
    <d v="1899-12-30T00:05:38"/>
    <x v="1"/>
    <x v="1"/>
  </r>
  <r>
    <s v="04E884BB00A9EBDC"/>
    <x v="0"/>
    <d v="2023-09-27T21:17:34"/>
    <d v="2023-09-27T21:27:38"/>
    <s v="Michigan Ave &amp; Oak St"/>
    <n v="13042"/>
    <s v="Dearborn St &amp; Erie St"/>
    <n v="13045"/>
    <n v="41.901367999999998"/>
    <n v="-87.623960999999994"/>
    <n v="41.894080000000002"/>
    <n v="-87.629135000000005"/>
    <x v="1"/>
    <d v="1899-12-30T00:10:04"/>
    <x v="1"/>
    <x v="1"/>
  </r>
  <r>
    <s v="03AD43D9053D9F6B"/>
    <x v="0"/>
    <d v="2023-09-28T10:02:15"/>
    <d v="2023-09-28T10:06:51"/>
    <s v="Michigan Ave &amp; Oak St"/>
    <n v="13042"/>
    <s v="Kingsbury St &amp; Kinzie St"/>
    <s v="KA1503000043"/>
    <n v="41.901432999999997"/>
    <n v="-87.623294000000001"/>
    <n v="41.889170999999997"/>
    <n v="-87.638137"/>
    <x v="0"/>
    <d v="1899-12-30T00:04:36"/>
    <x v="2"/>
    <x v="2"/>
  </r>
  <r>
    <s v="0451C93104735D73"/>
    <x v="2"/>
    <d v="2023-09-28T18:43:28"/>
    <d v="2023-09-28T19:06:54"/>
    <s v="Dearborn St &amp; Erie St"/>
    <n v="13045"/>
    <s v="Canal St &amp; Adams St"/>
    <n v="13011"/>
    <n v="41.894105000000003"/>
    <n v="-87.629180000000005"/>
    <n v="41.878996999999998"/>
    <n v="-87.639690000000002"/>
    <x v="1"/>
    <d v="1899-12-30T00:23:26"/>
    <x v="2"/>
    <x v="2"/>
  </r>
  <r>
    <s v="018C64BA05F41E50"/>
    <x v="0"/>
    <d v="2023-09-28T20:40:33"/>
    <d v="2023-09-28T21:07:47"/>
    <s v="Dearborn St &amp; Erie St"/>
    <n v="13045"/>
    <s v="State St &amp; 33rd St"/>
    <n v="21213"/>
    <n v="41.894419999999997"/>
    <n v="-87.629653000000005"/>
    <n v="41.834235999999997"/>
    <n v="-87.625328999999994"/>
    <x v="1"/>
    <d v="1899-12-30T00:27:14"/>
    <x v="2"/>
    <x v="2"/>
  </r>
  <r>
    <s v="03CD7C410391FABE"/>
    <x v="0"/>
    <d v="2023-10-01T01:09:18"/>
    <d v="2023-10-01T01:20:45"/>
    <s v="DuSable Harbor"/>
    <s v="KA1503000064"/>
    <s v="Clark St &amp; Elm St"/>
    <s v="TA1307000024"/>
    <n v="41.887360999999999"/>
    <n v="-87.612573999999995"/>
    <n v="41.902749999999997"/>
    <n v="-87.631497999999993"/>
    <x v="1"/>
    <d v="1899-12-30T00:11:27"/>
    <x v="0"/>
    <x v="0"/>
  </r>
  <r>
    <s v="040097D00487E223"/>
    <x v="0"/>
    <d v="2023-10-01T02:01:07"/>
    <d v="2023-10-01T02:35:51"/>
    <s v="Wells St &amp; Concord Ln"/>
    <s v="TA1308000070"/>
    <s v="Broadway &amp; Barry Ave"/>
    <n v="13137"/>
    <n v="41.912557999999997"/>
    <n v="-87.634370000000004"/>
    <n v="41.937671999999999"/>
    <n v="-87.644592000000003"/>
    <x v="0"/>
    <d v="1899-12-30T00:34:44"/>
    <x v="0"/>
    <x v="0"/>
  </r>
  <r>
    <s v="0468DD1604752241"/>
    <x v="0"/>
    <d v="2023-10-01T02:47:32"/>
    <d v="2023-10-01T02:53:25"/>
    <s v="Wells St &amp; Concord Ln"/>
    <s v="TA1308000070"/>
    <s v="Wells St &amp; Concord Ln"/>
    <s v="TA1308000070"/>
    <n v="41.912053"/>
    <n v="-87.634900000000002"/>
    <n v="41.912244999999999"/>
    <n v="-87.635074000000003"/>
    <x v="0"/>
    <d v="1899-12-30T00:05:53"/>
    <x v="0"/>
    <x v="0"/>
  </r>
  <r>
    <s v="054FAF2900F8B5E4"/>
    <x v="0"/>
    <d v="2023-10-01T11:20:48"/>
    <d v="2023-10-01T11:26:46"/>
    <s v="Kingsbury St &amp; Kinzie St"/>
    <s v="KA1503000043"/>
    <s v="Kingsbury St &amp; Kinzie St"/>
    <s v="KA1503000043"/>
    <n v="41.888708000000001"/>
    <n v="-87.638035000000002"/>
    <n v="41.889451000000001"/>
    <n v="-87.638025999999996"/>
    <x v="0"/>
    <d v="1899-12-30T00:05:58"/>
    <x v="0"/>
    <x v="0"/>
  </r>
  <r>
    <s v="0178E8B205F4722A"/>
    <x v="1"/>
    <d v="2023-10-02T09:15:54"/>
    <d v="2023-10-02T09:23:53"/>
    <s v="State St &amp; 33rd St"/>
    <n v="21213"/>
    <s v="Canal St &amp; Adams St"/>
    <n v="13011"/>
    <n v="41.835037999999997"/>
    <n v="-87.625446999999994"/>
    <n v="41.878815000000003"/>
    <n v="-87.639712000000003"/>
    <x v="0"/>
    <d v="1899-12-30T00:07:59"/>
    <x v="5"/>
    <x v="5"/>
  </r>
  <r>
    <s v="05C3A678036766D2"/>
    <x v="1"/>
    <d v="2023-10-02T12:43:19"/>
    <d v="2023-10-02T14:25:32"/>
    <s v="Kingsbury St &amp; Kinzie St"/>
    <s v="KA1503000043"/>
    <s v="Canal St &amp; Adams St"/>
    <n v="13011"/>
    <n v="41.889505999999997"/>
    <n v="-87.638723999999996"/>
    <n v="41.879627999999997"/>
    <n v="-87.640291000000005"/>
    <x v="1"/>
    <d v="1899-12-30T01:42:13"/>
    <x v="5"/>
    <x v="5"/>
  </r>
  <r>
    <s v="01B6591F04B5BE31"/>
    <x v="2"/>
    <d v="2023-10-05T01:08:17"/>
    <d v="2023-10-05T01:15:38"/>
    <s v="Clark St &amp; Elm St"/>
    <s v="TA1307000024"/>
    <s v="Clark St &amp; Elm St"/>
    <s v="TA1307000024"/>
    <n v="41.902934000000002"/>
    <n v="-87.631574000000001"/>
    <n v="41.902836999999998"/>
    <n v="-87.631276999999997"/>
    <x v="0"/>
    <d v="1899-12-30T00:07:21"/>
    <x v="2"/>
    <x v="2"/>
  </r>
  <r>
    <s v="019BE92A01E264B5"/>
    <x v="0"/>
    <d v="2023-10-05T04:27:01"/>
    <d v="2023-10-05T04:42:35"/>
    <s v="Broadway &amp; Barry Ave"/>
    <n v="13137"/>
    <s v="Columbus Dr &amp; Randolph St"/>
    <n v="13263"/>
    <n v="41.937091000000002"/>
    <n v="-87.643600000000006"/>
    <n v="41.884905000000003"/>
    <n v="-87.619192999999996"/>
    <x v="1"/>
    <d v="1899-12-30T00:15:34"/>
    <x v="2"/>
    <x v="2"/>
  </r>
  <r>
    <s v="0122654A010CBAA8"/>
    <x v="0"/>
    <d v="2023-10-05T13:53:55"/>
    <d v="2023-10-05T14:01:23"/>
    <s v="Millennium Park"/>
    <n v="13008"/>
    <s v="State St &amp; 33rd St"/>
    <n v="21213"/>
    <n v="41.881095000000002"/>
    <n v="-87.624155999999999"/>
    <n v="41.834560000000003"/>
    <n v="-87.625473"/>
    <x v="0"/>
    <d v="1899-12-30T00:07:28"/>
    <x v="2"/>
    <x v="2"/>
  </r>
  <r>
    <s v="0505EEF102D1B346"/>
    <x v="0"/>
    <d v="2023-10-05T15:26:25"/>
    <d v="2023-10-05T15:34:34"/>
    <s v="Wells St &amp; Elm St"/>
    <s v="KA1504000135"/>
    <s v="State St &amp; 33rd St"/>
    <n v="21213"/>
    <n v="41.902808999999998"/>
    <n v="-87.634621999999993"/>
    <n v="41.834778999999997"/>
    <n v="-87.626105999999993"/>
    <x v="0"/>
    <d v="1899-12-30T00:08:09"/>
    <x v="2"/>
    <x v="2"/>
  </r>
  <r>
    <s v="029E680D05250056"/>
    <x v="0"/>
    <d v="2023-10-05T17:28:43"/>
    <d v="2023-10-05T17:35:32"/>
    <s v="Clinton St &amp; Madison St"/>
    <s v="TA1305000032"/>
    <s v="Clinton St &amp; Madison St"/>
    <s v="TA1305000032"/>
    <n v="41.882607"/>
    <n v="-87.641446999999999"/>
    <n v="41.881914000000002"/>
    <n v="-87.641088999999994"/>
    <x v="1"/>
    <d v="1899-12-30T00:06:49"/>
    <x v="2"/>
    <x v="2"/>
  </r>
  <r>
    <s v="05847E4D04602985"/>
    <x v="0"/>
    <d v="2023-10-05T23:43:06"/>
    <d v="2023-10-05T23:52:30"/>
    <s v="Clinton St &amp; Madison St"/>
    <s v="TA1305000032"/>
    <s v="Dearborn St &amp; Erie St"/>
    <n v="13045"/>
    <n v="41.88252"/>
    <n v="-87.641345999999999"/>
    <n v="41.893656999999997"/>
    <n v="-87.629412000000002"/>
    <x v="1"/>
    <d v="1899-12-30T00:09:24"/>
    <x v="2"/>
    <x v="2"/>
  </r>
  <r>
    <s v="02CB078E04037F73"/>
    <x v="0"/>
    <d v="2023-10-06T08:58:25"/>
    <d v="2023-10-06T09:22:52"/>
    <s v="Broadway &amp; Barry Ave"/>
    <n v="13137"/>
    <s v="Broadway &amp; Barry Ave"/>
    <n v="13137"/>
    <n v="41.937958000000002"/>
    <n v="-87.643815000000004"/>
    <n v="41.937249999999999"/>
    <n v="-87.644086000000001"/>
    <x v="1"/>
    <d v="1899-12-30T00:24:27"/>
    <x v="3"/>
    <x v="3"/>
  </r>
  <r>
    <s v="05919D03037FFCE5"/>
    <x v="0"/>
    <d v="2023-10-06T22:10:44"/>
    <d v="2023-10-06T22:57:07"/>
    <s v="Columbus Dr &amp; Randolph St"/>
    <n v="13263"/>
    <s v="Wells St &amp; Elm St"/>
    <s v="KA1504000135"/>
    <n v="41.884556000000003"/>
    <n v="-87.619390999999993"/>
    <n v="41.903331999999999"/>
    <n v="-87.634260999999995"/>
    <x v="1"/>
    <d v="1899-12-30T00:46:23"/>
    <x v="3"/>
    <x v="3"/>
  </r>
  <r>
    <s v="025E9AE5036B9C79"/>
    <x v="0"/>
    <d v="2023-10-10T10:10:32"/>
    <d v="2023-10-10T10:14:51"/>
    <s v="DuSable Harbor"/>
    <s v="KA1503000064"/>
    <s v="Columbus Dr &amp; Randolph St"/>
    <n v="13263"/>
    <n v="41.887206999999997"/>
    <n v="-87.613125999999994"/>
    <n v="41.885086000000001"/>
    <n v="-87.619202000000001"/>
    <x v="0"/>
    <d v="1899-12-30T00:04:19"/>
    <x v="6"/>
    <x v="6"/>
  </r>
  <r>
    <s v="0503418F00DDC050"/>
    <x v="0"/>
    <d v="2023-10-10T10:54:29"/>
    <d v="2023-10-10T11:12:05"/>
    <s v="Theater on the Lake"/>
    <s v="TA1308000001"/>
    <s v="Clark St &amp; Elm St"/>
    <s v="TA1307000024"/>
    <n v="41.926119"/>
    <n v="-87.630595"/>
    <n v="41.902695999999999"/>
    <n v="-87.631138000000007"/>
    <x v="1"/>
    <d v="1899-12-30T00:17:36"/>
    <x v="6"/>
    <x v="6"/>
  </r>
  <r>
    <s v="05748404053BB0A9"/>
    <x v="0"/>
    <d v="2023-10-11T02:01:45"/>
    <d v="2023-10-11T02:09:53"/>
    <s v="Clark St &amp; Elm St"/>
    <s v="TA1307000024"/>
    <s v="Wells St &amp; Concord Ln"/>
    <s v="TA1308000070"/>
    <n v="41.903100999999999"/>
    <n v="-87.631596000000002"/>
    <n v="41.911738999999997"/>
    <n v="-87.634343000000001"/>
    <x v="0"/>
    <d v="1899-12-30T00:08:08"/>
    <x v="1"/>
    <x v="1"/>
  </r>
  <r>
    <s v="03A6AF04036EF24B"/>
    <x v="2"/>
    <d v="2023-10-12T03:04:42"/>
    <d v="2023-10-12T03:24:18"/>
    <s v="Canal St &amp; Adams St"/>
    <n v="13011"/>
    <s v="Streeter Dr &amp; Grand Ave"/>
    <n v="13022"/>
    <n v="41.879460000000002"/>
    <n v="-87.639957999999993"/>
    <n v="41.892642000000002"/>
    <n v="-87.611985000000004"/>
    <x v="0"/>
    <d v="1899-12-30T00:19:36"/>
    <x v="2"/>
    <x v="2"/>
  </r>
  <r>
    <s v="05DAA03205571A37"/>
    <x v="2"/>
    <d v="2023-10-13T06:08:44"/>
    <d v="2023-10-13T06:17:59"/>
    <s v="Broadway &amp; Barry Ave"/>
    <n v="13137"/>
    <s v="Streeter Dr &amp; Grand Ave"/>
    <n v="13022"/>
    <n v="41.937857999999999"/>
    <n v="-87.644144999999995"/>
    <n v="41.892302000000001"/>
    <n v="-87.612101999999993"/>
    <x v="0"/>
    <d v="1899-12-30T00:09:15"/>
    <x v="3"/>
    <x v="3"/>
  </r>
  <r>
    <s v="045A6B7E056D753D"/>
    <x v="1"/>
    <d v="2023-10-14T20:45:20"/>
    <d v="2023-10-14T21:13:58"/>
    <s v="Kingsbury St &amp; Kinzie St"/>
    <s v="KA1503000043"/>
    <s v="Clinton St &amp; Madison St"/>
    <s v="TA1305000032"/>
    <n v="41.889299999999999"/>
    <n v="-87.638406000000003"/>
    <n v="41.881796000000001"/>
    <n v="-87.641188999999997"/>
    <x v="0"/>
    <d v="1899-12-30T00:28:38"/>
    <x v="4"/>
    <x v="4"/>
  </r>
  <r>
    <s v="023342EC05EA2D3E"/>
    <x v="1"/>
    <d v="2023-10-15T13:37:45"/>
    <d v="2023-10-15T13:45:10"/>
    <s v="Wells St &amp; Elm St"/>
    <s v="KA1504000135"/>
    <s v="Broadway &amp; Barry Ave"/>
    <n v="13137"/>
    <n v="41.902987000000003"/>
    <n v="-87.634152"/>
    <n v="41.937134"/>
    <n v="-87.644484000000006"/>
    <x v="0"/>
    <d v="1899-12-30T00:07:25"/>
    <x v="0"/>
    <x v="0"/>
  </r>
  <r>
    <s v="05C4D98102AD7FF5"/>
    <x v="0"/>
    <d v="2023-10-16T05:51:59"/>
    <d v="2023-10-16T06:02:08"/>
    <s v="Kingsbury St &amp; Kinzie St"/>
    <s v="KA1503000043"/>
    <s v="Kingsbury St &amp; Kinzie St"/>
    <s v="KA1503000043"/>
    <n v="41.889276000000002"/>
    <n v="-87.638910999999993"/>
    <n v="41.889052999999997"/>
    <n v="-87.638456000000005"/>
    <x v="1"/>
    <d v="1899-12-30T00:10:09"/>
    <x v="5"/>
    <x v="5"/>
  </r>
  <r>
    <s v="05B46F44030E75FA"/>
    <x v="0"/>
    <d v="2023-10-17T03:24:19"/>
    <d v="2023-10-17T03:41:33"/>
    <s v="Wells St &amp; Concord Ln"/>
    <s v="TA1308000070"/>
    <s v="Wells St &amp; Concord Ln"/>
    <s v="TA1308000070"/>
    <n v="41.912050999999998"/>
    <n v="-87.634405000000001"/>
    <n v="41.911734000000003"/>
    <n v="-87.634878"/>
    <x v="0"/>
    <d v="1899-12-30T00:17:14"/>
    <x v="6"/>
    <x v="6"/>
  </r>
  <r>
    <s v="038D04C60440327A"/>
    <x v="2"/>
    <d v="2023-10-18T11:27:01"/>
    <d v="2023-10-18T11:35:10"/>
    <s v="Theater on the Lake"/>
    <s v="TA1308000001"/>
    <s v="State St &amp; 33rd St"/>
    <n v="21213"/>
    <n v="41.926372000000001"/>
    <n v="-87.631162000000003"/>
    <n v="41.835160000000002"/>
    <n v="-87.626244999999997"/>
    <x v="0"/>
    <d v="1899-12-30T00:08:09"/>
    <x v="1"/>
    <x v="1"/>
  </r>
  <r>
    <s v="02D047DE02ED050E"/>
    <x v="0"/>
    <d v="2023-10-19T00:51:10"/>
    <d v="2023-10-19T01:01:00"/>
    <s v="Theater on the Lake"/>
    <s v="TA1308000001"/>
    <s v="Kingsbury St &amp; Kinzie St"/>
    <s v="KA1503000043"/>
    <n v="41.925857000000001"/>
    <n v="-87.631022000000002"/>
    <n v="41.888693000000004"/>
    <n v="-87.638988999999995"/>
    <x v="0"/>
    <d v="1899-12-30T00:09:50"/>
    <x v="2"/>
    <x v="2"/>
  </r>
  <r>
    <s v="02F79963032B9C89"/>
    <x v="2"/>
    <d v="2023-10-19T15:56:41"/>
    <d v="2023-10-19T16:06:54"/>
    <s v="Theater on the Lake"/>
    <s v="TA1308000001"/>
    <s v="Theater on the Lake"/>
    <s v="TA1308000001"/>
    <n v="41.926335000000002"/>
    <n v="-87.630987000000005"/>
    <n v="41.92671"/>
    <n v="-87.630410999999995"/>
    <x v="0"/>
    <d v="1899-12-30T00:10:13"/>
    <x v="2"/>
    <x v="2"/>
  </r>
  <r>
    <s v="05966D8D013A5A49"/>
    <x v="2"/>
    <d v="2023-10-20T21:16:02"/>
    <d v="2023-10-20T21:37:48"/>
    <s v="Columbus Dr &amp; Randolph St"/>
    <n v="13263"/>
    <s v="Clinton St &amp; Madison St"/>
    <s v="TA1305000032"/>
    <n v="41.884799999999998"/>
    <n v="-87.619215999999994"/>
    <n v="41.882502000000002"/>
    <n v="-87.641412000000003"/>
    <x v="1"/>
    <d v="1899-12-30T00:21:46"/>
    <x v="3"/>
    <x v="3"/>
  </r>
  <r>
    <s v="02CFDB7A053F5A3C"/>
    <x v="0"/>
    <d v="2023-10-21T01:23:25"/>
    <d v="2023-10-21T01:30:19"/>
    <s v="Michigan Ave &amp; Oak St"/>
    <n v="13042"/>
    <s v="Clark St &amp; Elm St"/>
    <s v="TA1307000024"/>
    <n v="41.900548999999998"/>
    <n v="-87.624173999999996"/>
    <n v="41.903058000000001"/>
    <n v="-87.631091999999995"/>
    <x v="1"/>
    <d v="1899-12-30T00:06:54"/>
    <x v="4"/>
    <x v="4"/>
  </r>
  <r>
    <s v="0361426E02F44C5E"/>
    <x v="2"/>
    <d v="2023-10-21T17:35:04"/>
    <d v="2023-10-21T17:48:51"/>
    <s v="Millennium Park"/>
    <n v="13008"/>
    <s v="Theater on the Lake"/>
    <s v="TA1308000001"/>
    <n v="41.880986"/>
    <n v="-87.623896000000002"/>
    <n v="41.925918000000003"/>
    <n v="-87.630848"/>
    <x v="0"/>
    <d v="1899-12-30T00:13:47"/>
    <x v="4"/>
    <x v="4"/>
  </r>
  <r>
    <s v="04E19DA401E67EBC"/>
    <x v="0"/>
    <d v="2023-10-23T06:22:45"/>
    <d v="2023-10-23T06:37:57"/>
    <s v="DuSable Harbor"/>
    <s v="KA1503000064"/>
    <s v="DuSable Harbor"/>
    <s v="KA1503000064"/>
    <n v="41.887467000000001"/>
    <n v="-87.613080999999994"/>
    <n v="41.887419000000001"/>
    <n v="-87.612662999999998"/>
    <x v="0"/>
    <d v="1899-12-30T00:15:12"/>
    <x v="5"/>
    <x v="5"/>
  </r>
  <r>
    <s v="05E7F86D044FF2C8"/>
    <x v="0"/>
    <d v="2023-10-23T07:12:59"/>
    <d v="2023-10-23T07:30:52"/>
    <s v="Clark St &amp; Elm St"/>
    <s v="TA1307000024"/>
    <s v="Broadway &amp; Barry Ave"/>
    <n v="13137"/>
    <n v="41.903260000000003"/>
    <n v="-87.631369000000007"/>
    <n v="41.937956"/>
    <n v="-87.643960000000007"/>
    <x v="1"/>
    <d v="1899-12-30T00:17:53"/>
    <x v="5"/>
    <x v="5"/>
  </r>
  <r>
    <s v="01B4260204D575A4"/>
    <x v="2"/>
    <d v="2023-10-23T11:55:55"/>
    <d v="2023-10-23T12:06:05"/>
    <s v="Columbus Dr &amp; Randolph St"/>
    <n v="13263"/>
    <s v="Clinton St &amp; Madison St"/>
    <s v="TA1305000032"/>
    <n v="41.884461000000002"/>
    <n v="-87.619890999999996"/>
    <n v="41.881998000000003"/>
    <n v="-87.641210999999998"/>
    <x v="1"/>
    <d v="1899-12-30T00:10:10"/>
    <x v="5"/>
    <x v="5"/>
  </r>
  <r>
    <s v="042038DB03EA43F9"/>
    <x v="0"/>
    <d v="2023-10-24T06:00:21"/>
    <d v="2023-10-24T06:32:21"/>
    <s v="Columbus Dr &amp; Randolph St"/>
    <n v="13263"/>
    <s v="Dearborn St &amp; Erie St"/>
    <n v="13045"/>
    <n v="41.885066999999999"/>
    <n v="-87.619895999999997"/>
    <n v="41.894413"/>
    <n v="-87.628947999999994"/>
    <x v="0"/>
    <d v="1899-12-30T00:32:00"/>
    <x v="6"/>
    <x v="6"/>
  </r>
  <r>
    <s v="030E0C1002F332DF"/>
    <x v="1"/>
    <d v="2023-10-25T00:18:04"/>
    <d v="2023-10-25T00:45:59"/>
    <s v="Theater on the Lake"/>
    <s v="TA1308000001"/>
    <s v="Streeter Dr &amp; Grand Ave"/>
    <n v="13022"/>
    <n v="41.926177000000003"/>
    <n v="-87.630550999999997"/>
    <n v="41.892043999999999"/>
    <n v="-87.611553000000001"/>
    <x v="0"/>
    <d v="1899-12-30T00:27:55"/>
    <x v="1"/>
    <x v="1"/>
  </r>
  <r>
    <s v="00B08A380229CBEB"/>
    <x v="0"/>
    <d v="2023-10-25T09:15:59"/>
    <d v="2023-10-25T09:26:37"/>
    <s v="Theater on the Lake"/>
    <s v="TA1308000001"/>
    <s v="State St &amp; 33rd St"/>
    <n v="21213"/>
    <n v="41.926312000000003"/>
    <n v="-87.630768000000003"/>
    <n v="41.834985000000003"/>
    <n v="-87.626181000000003"/>
    <x v="0"/>
    <d v="1899-12-30T00:10:38"/>
    <x v="1"/>
    <x v="1"/>
  </r>
  <r>
    <s v="04DA4F0E02222894"/>
    <x v="0"/>
    <d v="2023-10-29T15:39:16"/>
    <d v="2023-10-29T16:00:50"/>
    <s v="Canal St &amp; Adams St"/>
    <n v="13011"/>
    <s v="DuSable Harbor"/>
    <s v="KA1503000064"/>
    <n v="41.879406000000003"/>
    <n v="-87.639529999999993"/>
    <n v="41.886476000000002"/>
    <n v="-87.613144000000005"/>
    <x v="0"/>
    <d v="1899-12-30T00:21:34"/>
    <x v="0"/>
    <x v="0"/>
  </r>
  <r>
    <s v="0581DAAA02B7F4AB"/>
    <x v="0"/>
    <d v="2023-10-30T05:16:50"/>
    <d v="2023-10-30T05:32:12"/>
    <s v="Streeter Dr &amp; Grand Ave"/>
    <n v="13022"/>
    <s v="Clinton St &amp; Madison St"/>
    <s v="TA1305000032"/>
    <n v="41.892623"/>
    <n v="-87.612520000000004"/>
    <n v="41.882556000000001"/>
    <n v="-87.641283999999999"/>
    <x v="0"/>
    <d v="1899-12-30T00:15:22"/>
    <x v="5"/>
    <x v="5"/>
  </r>
  <r>
    <s v="012B7491036E1F14"/>
    <x v="2"/>
    <d v="2023-10-30T07:03:45"/>
    <d v="2023-10-30T07:25:28"/>
    <s v="State St &amp; 33rd St"/>
    <n v="21213"/>
    <s v="Theater on the Lake"/>
    <s v="TA1308000001"/>
    <n v="41.835219000000002"/>
    <n v="-87.625376000000003"/>
    <n v="41.925820000000002"/>
    <n v="-87.631169"/>
    <x v="0"/>
    <d v="1899-12-30T00:21:43"/>
    <x v="5"/>
    <x v="5"/>
  </r>
  <r>
    <s v="05DACCA3052F5B9C"/>
    <x v="0"/>
    <d v="2023-10-30T19:48:19"/>
    <d v="2023-10-30T20:03:20"/>
    <s v="Michigan Ave &amp; Oak St"/>
    <n v="13042"/>
    <s v="Canal St &amp; Adams St"/>
    <n v="13011"/>
    <n v="41.901291000000001"/>
    <n v="-87.623931999999996"/>
    <n v="41.879528999999998"/>
    <n v="-87.640040999999997"/>
    <x v="1"/>
    <d v="1899-12-30T00:15:01"/>
    <x v="5"/>
    <x v="5"/>
  </r>
  <r>
    <s v="0126FD5702F540E1"/>
    <x v="2"/>
    <d v="2023-11-01T00:35:39"/>
    <d v="2023-11-01T00:39:47"/>
    <s v="Wells St &amp; Concord Ln"/>
    <s v="TA1308000070"/>
    <s v="Wells St &amp; Concord Ln"/>
    <s v="TA1308000070"/>
    <n v="41.912021000000003"/>
    <n v="-87.635018000000002"/>
    <n v="41.912371"/>
    <n v="-87.634298999999999"/>
    <x v="0"/>
    <d v="1899-12-30T00:04:08"/>
    <x v="1"/>
    <x v="1"/>
  </r>
  <r>
    <s v="058BD67102E2870E"/>
    <x v="0"/>
    <d v="2023-11-01T13:16:02"/>
    <d v="2023-11-01T13:47:10"/>
    <s v="Theater on the Lake"/>
    <s v="TA1308000001"/>
    <s v="Kingsbury St &amp; Kinzie St"/>
    <s v="KA1503000043"/>
    <n v="41.926318000000002"/>
    <n v="-87.630624999999995"/>
    <n v="41.889547999999998"/>
    <n v="-87.638292000000007"/>
    <x v="0"/>
    <d v="1899-12-30T00:31:08"/>
    <x v="1"/>
    <x v="1"/>
  </r>
  <r>
    <s v="02FCF08B05015F92"/>
    <x v="0"/>
    <d v="2023-11-01T23:56:16"/>
    <d v="2023-11-02T01:15:10"/>
    <s v="Streeter Dr &amp; Grand Ave"/>
    <n v="13022"/>
    <s v="Streeter Dr &amp; Grand Ave"/>
    <n v="13022"/>
    <n v="41.892319999999998"/>
    <n v="-87.611670000000004"/>
    <n v="41.892510000000001"/>
    <n v="-87.611735999999993"/>
    <x v="1"/>
    <d v="1899-12-30T01:18:54"/>
    <x v="1"/>
    <x v="1"/>
  </r>
  <r>
    <s v="01C4539903BDAE90"/>
    <x v="0"/>
    <d v="2023-11-02T01:10:57"/>
    <d v="2023-11-02T01:23:49"/>
    <s v="Streeter Dr &amp; Grand Ave"/>
    <n v="13022"/>
    <s v="Streeter Dr &amp; Grand Ave"/>
    <n v="13022"/>
    <n v="41.892570999999997"/>
    <n v="-87.612474000000006"/>
    <n v="41.892251999999999"/>
    <n v="-87.611981999999998"/>
    <x v="0"/>
    <d v="1899-12-30T00:12:52"/>
    <x v="2"/>
    <x v="2"/>
  </r>
  <r>
    <s v="0484CF1905CB7921"/>
    <x v="0"/>
    <d v="2023-11-02T12:27:00"/>
    <d v="2023-11-02T12:52:04"/>
    <s v="Columbus Dr &amp; Randolph St"/>
    <n v="13263"/>
    <s v="Wells St &amp; Elm St"/>
    <s v="KA1504000135"/>
    <n v="41.884818000000003"/>
    <n v="-87.619540999999998"/>
    <n v="41.903143"/>
    <n v="-87.634039000000001"/>
    <x v="1"/>
    <d v="1899-12-30T00:25:04"/>
    <x v="2"/>
    <x v="2"/>
  </r>
  <r>
    <s v="01BCD43C01928974"/>
    <x v="2"/>
    <d v="2023-11-02T18:33:48"/>
    <d v="2023-11-02T18:43:03"/>
    <s v="Dearborn St &amp; Erie St"/>
    <n v="13045"/>
    <s v="Dearborn St &amp; Erie St"/>
    <n v="13045"/>
    <n v="41.894423000000003"/>
    <n v="-87.629157000000006"/>
    <n v="41.894238000000001"/>
    <n v="-87.629506000000006"/>
    <x v="1"/>
    <d v="1899-12-30T00:09:15"/>
    <x v="2"/>
    <x v="2"/>
  </r>
  <r>
    <s v="05A6C2E002F2BEC9"/>
    <x v="1"/>
    <d v="2023-11-03T08:55:15"/>
    <d v="2023-11-03T09:29:29"/>
    <s v="Columbus Dr &amp; Randolph St"/>
    <n v="13263"/>
    <s v="Streeter Dr &amp; Grand Ave"/>
    <n v="13022"/>
    <n v="41.884421000000003"/>
    <n v="-87.619550000000004"/>
    <n v="41.892251000000002"/>
    <n v="-87.612165000000005"/>
    <x v="1"/>
    <d v="1899-12-30T00:34:14"/>
    <x v="3"/>
    <x v="3"/>
  </r>
  <r>
    <s v="056B28B602CF2FF2"/>
    <x v="2"/>
    <d v="2023-11-06T03:20:09"/>
    <d v="2023-11-06T03:44:01"/>
    <s v="Dearborn St &amp; Erie St"/>
    <n v="13045"/>
    <s v="Kingsbury St &amp; Kinzie St"/>
    <s v="KA1503000043"/>
    <n v="41.893906999999999"/>
    <n v="-87.628953999999993"/>
    <n v="41.889600000000002"/>
    <n v="-87.638540000000006"/>
    <x v="0"/>
    <d v="1899-12-30T00:23:52"/>
    <x v="5"/>
    <x v="5"/>
  </r>
  <r>
    <s v="05D399EC025B7A5F"/>
    <x v="0"/>
    <d v="2023-11-07T23:35:51"/>
    <d v="2023-11-07T23:41:40"/>
    <s v="Canal St &amp; Adams St"/>
    <n v="13011"/>
    <s v="Michigan Ave &amp; Oak St"/>
    <n v="13042"/>
    <n v="41.879550000000002"/>
    <n v="-87.640133000000006"/>
    <n v="41.900899000000003"/>
    <n v="-87.624199000000004"/>
    <x v="0"/>
    <d v="1899-12-30T00:05:49"/>
    <x v="6"/>
    <x v="6"/>
  </r>
  <r>
    <s v="044A60CA0233260F"/>
    <x v="0"/>
    <d v="2023-11-09T04:34:36"/>
    <d v="2023-11-09T04:40:22"/>
    <s v="Clinton St &amp; Madison St"/>
    <s v="TA1305000032"/>
    <s v="Dearborn St &amp; Erie St"/>
    <n v="13045"/>
    <n v="41.882627999999997"/>
    <n v="-87.640973000000002"/>
    <n v="41.893884"/>
    <n v="-87.629405000000006"/>
    <x v="0"/>
    <d v="1899-12-30T00:05:46"/>
    <x v="2"/>
    <x v="2"/>
  </r>
  <r>
    <s v="049B42EB05570AA6"/>
    <x v="0"/>
    <d v="2023-11-09T05:04:41"/>
    <d v="2023-11-09T05:15:36"/>
    <s v="Millennium Park"/>
    <n v="13008"/>
    <s v="Theater on the Lake"/>
    <s v="TA1308000001"/>
    <n v="41.881338"/>
    <n v="-87.624033999999995"/>
    <n v="41.925820000000002"/>
    <n v="-87.630701000000002"/>
    <x v="1"/>
    <d v="1899-12-30T00:10:55"/>
    <x v="2"/>
    <x v="2"/>
  </r>
  <r>
    <s v="055196140487C519"/>
    <x v="0"/>
    <d v="2023-11-09T10:44:57"/>
    <d v="2023-11-09T11:35:01"/>
    <s v="Michigan Ave &amp; Oak St"/>
    <n v="13042"/>
    <s v="Clark St &amp; Elm St"/>
    <s v="TA1307000024"/>
    <n v="41.901024999999997"/>
    <n v="-87.623812999999998"/>
    <n v="41.903444999999998"/>
    <n v="-87.631170999999995"/>
    <x v="0"/>
    <d v="1899-12-30T00:50:04"/>
    <x v="2"/>
    <x v="2"/>
  </r>
  <r>
    <s v="05E4942902FF16D6"/>
    <x v="2"/>
    <d v="2023-11-09T22:54:21"/>
    <d v="2023-11-09T23:09:07"/>
    <s v="Clark St &amp; Elm St"/>
    <s v="TA1307000024"/>
    <s v="Columbus Dr &amp; Randolph St"/>
    <n v="13263"/>
    <n v="41.902858000000002"/>
    <n v="-87.631291000000004"/>
    <n v="41.884658000000002"/>
    <n v="-87.619280000000003"/>
    <x v="1"/>
    <d v="1899-12-30T00:14:46"/>
    <x v="2"/>
    <x v="2"/>
  </r>
  <r>
    <s v="05E016F602959521"/>
    <x v="0"/>
    <d v="2023-11-11T04:02:33"/>
    <d v="2023-11-11T04:28:46"/>
    <s v="Theater on the Lake"/>
    <s v="TA1308000001"/>
    <s v="DuSable Harbor"/>
    <s v="KA1503000064"/>
    <n v="41.926087000000003"/>
    <n v="-87.630396000000005"/>
    <n v="41.887152999999998"/>
    <n v="-87.613193999999993"/>
    <x v="0"/>
    <d v="1899-12-30T00:26:13"/>
    <x v="4"/>
    <x v="4"/>
  </r>
  <r>
    <s v="0209C03000BFCEEC"/>
    <x v="0"/>
    <d v="2023-11-12T02:39:38"/>
    <d v="2023-11-12T02:51:55"/>
    <s v="Columbus Dr &amp; Randolph St"/>
    <n v="13263"/>
    <s v="Columbus Dr &amp; Randolph St"/>
    <n v="13263"/>
    <n v="41.884934999999999"/>
    <n v="-87.619366999999997"/>
    <n v="41.885100999999999"/>
    <n v="-87.619776999999999"/>
    <x v="0"/>
    <d v="1899-12-30T00:12:17"/>
    <x v="0"/>
    <x v="0"/>
  </r>
  <r>
    <s v="035191C4024B4625"/>
    <x v="0"/>
    <d v="2023-11-12T14:20:46"/>
    <d v="2023-11-12T14:35:24"/>
    <s v="Wells St &amp; Elm St"/>
    <s v="KA1504000135"/>
    <s v="Wells St &amp; Concord Ln"/>
    <s v="TA1308000070"/>
    <n v="41.902886000000002"/>
    <n v="-87.634433000000001"/>
    <n v="41.912602"/>
    <n v="-87.634898000000007"/>
    <x v="0"/>
    <d v="1899-12-30T00:14:38"/>
    <x v="0"/>
    <x v="0"/>
  </r>
  <r>
    <s v="01B43D0903F08127"/>
    <x v="0"/>
    <d v="2023-11-13T11:31:02"/>
    <d v="2023-11-13T12:00:23"/>
    <s v="Kingsbury St &amp; Kinzie St"/>
    <s v="KA1503000043"/>
    <s v="Kingsbury St &amp; Kinzie St"/>
    <s v="KA1503000043"/>
    <n v="41.888987"/>
    <n v="-87.638273999999996"/>
    <n v="41.889318000000003"/>
    <n v="-87.638589999999994"/>
    <x v="0"/>
    <d v="1899-12-30T00:29:21"/>
    <x v="5"/>
    <x v="5"/>
  </r>
  <r>
    <s v="030639AD0260D673"/>
    <x v="0"/>
    <d v="2023-11-14T12:04:43"/>
    <d v="2023-11-14T12:20:38"/>
    <s v="Canal St &amp; Adams St"/>
    <n v="13011"/>
    <s v="Dearborn St &amp; Erie St"/>
    <n v="13045"/>
    <n v="41.878847"/>
    <n v="-87.640067999999999"/>
    <n v="41.894015000000003"/>
    <n v="-87.629086000000001"/>
    <x v="0"/>
    <d v="1899-12-30T00:15:55"/>
    <x v="6"/>
    <x v="6"/>
  </r>
  <r>
    <s v="03DA68E003E2A957"/>
    <x v="2"/>
    <d v="2023-11-15T00:23:08"/>
    <d v="2023-11-15T00:32:24"/>
    <s v="Clark St &amp; Elm St"/>
    <s v="TA1307000024"/>
    <s v="Columbus Dr &amp; Randolph St"/>
    <n v="13263"/>
    <n v="41.902678999999999"/>
    <n v="-87.631038000000004"/>
    <n v="41.884774999999998"/>
    <n v="-87.619136999999995"/>
    <x v="0"/>
    <d v="1899-12-30T00:09:16"/>
    <x v="1"/>
    <x v="1"/>
  </r>
  <r>
    <s v="023FA79005330E6B"/>
    <x v="2"/>
    <d v="2023-11-15T18:42:42"/>
    <d v="2023-11-15T19:27:07"/>
    <s v="Michigan Ave &amp; Oak St"/>
    <n v="13042"/>
    <s v="Millennium Park"/>
    <n v="13008"/>
    <n v="41.901401"/>
    <n v="-87.623654000000002"/>
    <n v="41.881273999999998"/>
    <n v="-87.623778999999999"/>
    <x v="1"/>
    <d v="1899-12-30T00:44:25"/>
    <x v="1"/>
    <x v="1"/>
  </r>
  <r>
    <s v="027E93FF03BFD07A"/>
    <x v="2"/>
    <d v="2023-11-16T06:28:21"/>
    <d v="2023-11-16T06:43:30"/>
    <s v="Broadway &amp; Barry Ave"/>
    <n v="13137"/>
    <s v="DuSable Harbor"/>
    <s v="KA1503000064"/>
    <n v="41.937949000000003"/>
    <n v="-87.644003999999995"/>
    <n v="41.886603000000001"/>
    <n v="-87.612885000000006"/>
    <x v="1"/>
    <d v="1899-12-30T00:15:09"/>
    <x v="2"/>
    <x v="2"/>
  </r>
  <r>
    <s v="02B85F1301F392EB"/>
    <x v="0"/>
    <d v="2023-11-19T07:57:52"/>
    <d v="2023-11-19T08:01:54"/>
    <s v="Theater on the Lake"/>
    <s v="TA1308000001"/>
    <s v="Dearborn St &amp; Erie St"/>
    <n v="13045"/>
    <n v="41.926228000000002"/>
    <n v="-87.630662000000001"/>
    <n v="41.894075999999998"/>
    <n v="-87.629292000000007"/>
    <x v="0"/>
    <d v="1899-12-30T00:04:02"/>
    <x v="0"/>
    <x v="0"/>
  </r>
  <r>
    <s v="0322187200B78D9D"/>
    <x v="2"/>
    <d v="2023-11-19T09:10:55"/>
    <d v="2023-11-19T09:19:01"/>
    <s v="Broadway &amp; Barry Ave"/>
    <n v="13137"/>
    <s v="Dearborn St &amp; Erie St"/>
    <n v="13045"/>
    <n v="41.937620000000003"/>
    <n v="-87.643606000000005"/>
    <n v="41.894350000000003"/>
    <n v="-87.629721000000004"/>
    <x v="0"/>
    <d v="1899-12-30T00:08:06"/>
    <x v="0"/>
    <x v="0"/>
  </r>
  <r>
    <s v="043B5B460271D034"/>
    <x v="1"/>
    <d v="2023-11-19T20:43:54"/>
    <d v="2023-11-19T21:19:27"/>
    <s v="Columbus Dr &amp; Randolph St"/>
    <n v="13263"/>
    <s v="Columbus Dr &amp; Randolph St"/>
    <n v="13263"/>
    <n v="41.884931000000002"/>
    <n v="-87.619999000000007"/>
    <n v="41.884858999999999"/>
    <n v="-87.619856999999996"/>
    <x v="1"/>
    <d v="1899-12-30T00:35:33"/>
    <x v="0"/>
    <x v="0"/>
  </r>
  <r>
    <s v="02F30F6704FA815B"/>
    <x v="0"/>
    <d v="2023-11-19T23:21:07"/>
    <d v="2023-11-19T23:34:30"/>
    <s v="Wells St &amp; Concord Ln"/>
    <s v="TA1308000070"/>
    <s v="Clinton St &amp; Madison St"/>
    <s v="TA1305000032"/>
    <n v="41.911802999999999"/>
    <n v="-87.635104999999996"/>
    <n v="41.882359999999998"/>
    <n v="-87.641357999999997"/>
    <x v="0"/>
    <d v="1899-12-30T00:13:23"/>
    <x v="0"/>
    <x v="0"/>
  </r>
  <r>
    <s v="0173E53004E09E82"/>
    <x v="0"/>
    <d v="2023-11-20T10:25:36"/>
    <d v="2023-11-20T10:29:36"/>
    <s v="Clark St &amp; Elm St"/>
    <s v="TA1307000024"/>
    <s v="Wells St &amp; Elm St"/>
    <s v="KA1504000135"/>
    <n v="41.902582000000002"/>
    <n v="-87.631388000000001"/>
    <n v="41.902845999999997"/>
    <n v="-87.633868000000007"/>
    <x v="0"/>
    <d v="1899-12-30T00:04:00"/>
    <x v="5"/>
    <x v="5"/>
  </r>
  <r>
    <s v="009C06EF037BD8E6"/>
    <x v="0"/>
    <d v="2023-11-20T12:30:34"/>
    <d v="2023-11-20T12:52:36"/>
    <s v="Kingsbury St &amp; Kinzie St"/>
    <s v="KA1503000043"/>
    <s v="Broadway &amp; Barry Ave"/>
    <n v="13137"/>
    <n v="41.888725000000001"/>
    <n v="-87.638278999999997"/>
    <n v="41.937855999999996"/>
    <n v="-87.644244999999998"/>
    <x v="1"/>
    <d v="1899-12-30T00:22:02"/>
    <x v="5"/>
    <x v="5"/>
  </r>
  <r>
    <s v="0392174A056E66FA"/>
    <x v="0"/>
    <d v="2023-11-21T22:43:33"/>
    <d v="2023-11-21T23:13:43"/>
    <s v="Kingsbury St &amp; Kinzie St"/>
    <s v="KA1503000043"/>
    <s v="Kingsbury St &amp; Kinzie St"/>
    <s v="KA1503000043"/>
    <n v="41.889512000000003"/>
    <n v="-87.638684999999995"/>
    <n v="41.888863999999998"/>
    <n v="-87.638964999999999"/>
    <x v="1"/>
    <d v="1899-12-30T00:30:10"/>
    <x v="6"/>
    <x v="6"/>
  </r>
  <r>
    <s v="00A503D605E98AD7"/>
    <x v="2"/>
    <d v="2023-11-21T23:39:56"/>
    <d v="2023-11-21T23:45:23"/>
    <s v="State St &amp; 33rd St"/>
    <n v="21213"/>
    <s v="State St &amp; 33rd St"/>
    <n v="21213"/>
    <n v="41.834504000000003"/>
    <n v="-87.625470000000007"/>
    <n v="41.834547000000001"/>
    <n v="-87.625523999999999"/>
    <x v="0"/>
    <d v="1899-12-30T00:05:27"/>
    <x v="6"/>
    <x v="6"/>
  </r>
  <r>
    <s v="0108827503B035AB"/>
    <x v="0"/>
    <d v="2023-11-23T03:13:22"/>
    <d v="2023-11-23T03:22:59"/>
    <s v="Streeter Dr &amp; Grand Ave"/>
    <n v="13022"/>
    <s v="Wells St &amp; Concord Ln"/>
    <s v="TA1308000070"/>
    <n v="41.892243000000001"/>
    <n v="-87.612482999999997"/>
    <n v="41.912194999999997"/>
    <n v="-87.634197999999998"/>
    <x v="0"/>
    <d v="1899-12-30T00:09:37"/>
    <x v="2"/>
    <x v="2"/>
  </r>
  <r>
    <s v="05BFEF7A03707553"/>
    <x v="2"/>
    <d v="2023-11-23T07:52:30"/>
    <d v="2023-11-23T08:02:14"/>
    <s v="Clark St &amp; Elm St"/>
    <s v="TA1307000024"/>
    <s v="Wells St &amp; Elm St"/>
    <s v="KA1504000135"/>
    <n v="41.902863000000004"/>
    <n v="-87.631299999999996"/>
    <n v="41.902859999999997"/>
    <n v="-87.634743"/>
    <x v="0"/>
    <d v="1899-12-30T00:09:44"/>
    <x v="2"/>
    <x v="2"/>
  </r>
  <r>
    <s v="020D2782035665F7"/>
    <x v="0"/>
    <d v="2023-11-23T09:56:55"/>
    <d v="2023-11-23T10:10:46"/>
    <s v="DuSable Harbor"/>
    <s v="KA1503000064"/>
    <s v="Kingsbury St &amp; Kinzie St"/>
    <s v="KA1503000043"/>
    <n v="41.886709000000003"/>
    <n v="-87.612820999999997"/>
    <n v="41.888987"/>
    <n v="-87.638824"/>
    <x v="0"/>
    <d v="1899-12-30T00:13:51"/>
    <x v="2"/>
    <x v="2"/>
  </r>
  <r>
    <s v="0211D67805CDF828"/>
    <x v="0"/>
    <d v="2023-11-23T17:57:54"/>
    <d v="2023-11-23T18:22:17"/>
    <s v="Clinton St &amp; Madison St"/>
    <s v="TA1305000032"/>
    <s v="Canal St &amp; Adams St"/>
    <n v="13011"/>
    <n v="41.882465000000003"/>
    <n v="-87.641497999999999"/>
    <n v="41.879463000000001"/>
    <n v="-87.639859999999999"/>
    <x v="1"/>
    <d v="1899-12-30T00:24:23"/>
    <x v="2"/>
    <x v="2"/>
  </r>
  <r>
    <s v="0168322C0104B5D0"/>
    <x v="2"/>
    <d v="2023-11-24T10:26:37"/>
    <d v="2023-11-24T10:33:41"/>
    <s v="Clinton St &amp; Madison St"/>
    <s v="TA1305000032"/>
    <s v="Clinton St &amp; Madison St"/>
    <s v="TA1305000032"/>
    <n v="41.882668000000002"/>
    <n v="-87.641547000000003"/>
    <n v="41.882218999999999"/>
    <n v="-87.640878000000001"/>
    <x v="0"/>
    <d v="1899-12-30T00:07:04"/>
    <x v="3"/>
    <x v="3"/>
  </r>
  <r>
    <s v="045FDBE1030AD1F7"/>
    <x v="0"/>
    <d v="2023-11-24T19:41:34"/>
    <d v="2023-11-24T19:51:47"/>
    <s v="State St &amp; 33rd St"/>
    <n v="21213"/>
    <s v="Wells St &amp; Elm St"/>
    <s v="KA1504000135"/>
    <n v="41.834654999999998"/>
    <n v="-87.626285999999993"/>
    <n v="41.903688000000002"/>
    <n v="-87.634697000000003"/>
    <x v="0"/>
    <d v="1899-12-30T00:10:13"/>
    <x v="3"/>
    <x v="3"/>
  </r>
  <r>
    <s v="029002F501ED393E"/>
    <x v="2"/>
    <d v="2023-11-26T01:20:26"/>
    <d v="2023-11-26T01:34:01"/>
    <s v="Michigan Ave &amp; Oak St"/>
    <n v="13042"/>
    <s v="Wells St &amp; Concord Ln"/>
    <s v="TA1308000070"/>
    <n v="41.901327000000002"/>
    <n v="-87.623321000000004"/>
    <n v="41.91187"/>
    <n v="-87.634272999999993"/>
    <x v="1"/>
    <d v="1899-12-30T00:13:35"/>
    <x v="0"/>
    <x v="0"/>
  </r>
  <r>
    <s v="049AE2FD057D6E18"/>
    <x v="0"/>
    <d v="2023-11-28T07:26:50"/>
    <d v="2023-11-28T07:41:17"/>
    <s v="Michigan Ave &amp; Oak St"/>
    <n v="13042"/>
    <s v="Michigan Ave &amp; Oak St"/>
    <n v="13042"/>
    <n v="41.900464999999997"/>
    <n v="-87.623831999999993"/>
    <n v="41.900543999999996"/>
    <n v="-87.623593999999997"/>
    <x v="1"/>
    <d v="1899-12-30T00:14:27"/>
    <x v="6"/>
    <x v="6"/>
  </r>
  <r>
    <s v="058DC60B042FF4AF"/>
    <x v="0"/>
    <d v="2023-11-28T12:20:33"/>
    <d v="2023-11-28T12:49:45"/>
    <s v="Wells St &amp; Elm St"/>
    <s v="KA1504000135"/>
    <s v="Michigan Ave &amp; Oak St"/>
    <n v="13042"/>
    <n v="41.903343999999997"/>
    <n v="-87.633889999999994"/>
    <n v="41.900666999999999"/>
    <n v="-87.623542"/>
    <x v="1"/>
    <d v="1899-12-30T00:29:12"/>
    <x v="6"/>
    <x v="6"/>
  </r>
  <r>
    <s v="01497AD504B1F01E"/>
    <x v="2"/>
    <d v="2023-11-28T18:03:05"/>
    <d v="2023-11-28T18:28:09"/>
    <s v="Wells St &amp; Concord Ln"/>
    <s v="TA1308000070"/>
    <s v="Wells St &amp; Concord Ln"/>
    <s v="TA1308000070"/>
    <n v="41.911759000000004"/>
    <n v="-87.634625999999997"/>
    <n v="41.911901999999998"/>
    <n v="-87.635135000000005"/>
    <x v="1"/>
    <d v="1899-12-30T00:25:04"/>
    <x v="6"/>
    <x v="6"/>
  </r>
  <r>
    <s v="02822F4705F11F57"/>
    <x v="0"/>
    <d v="2023-11-28T19:56:44"/>
    <d v="2023-11-28T20:01:08"/>
    <s v="Columbus Dr &amp; Randolph St"/>
    <n v="13263"/>
    <s v="Columbus Dr &amp; Randolph St"/>
    <n v="13263"/>
    <n v="41.884490999999997"/>
    <n v="-87.619146000000001"/>
    <n v="41.884357000000001"/>
    <n v="-87.619300999999993"/>
    <x v="0"/>
    <d v="1899-12-30T00:04:24"/>
    <x v="6"/>
    <x v="6"/>
  </r>
  <r>
    <s v="056D621401782059"/>
    <x v="0"/>
    <d v="2023-11-29T06:01:50"/>
    <d v="2023-11-29T06:06:55"/>
    <s v="Millennium Park"/>
    <n v="13008"/>
    <s v="Theater on the Lake"/>
    <s v="TA1308000001"/>
    <n v="41.881523999999999"/>
    <n v="-87.623632999999998"/>
    <n v="41.925913999999999"/>
    <n v="-87.630796000000004"/>
    <x v="0"/>
    <d v="1899-12-30T00:05:05"/>
    <x v="1"/>
    <x v="1"/>
  </r>
  <r>
    <s v="01411D6E03D8C01B"/>
    <x v="0"/>
    <d v="2023-11-29T07:21:50"/>
    <d v="2023-11-29T07:38:28"/>
    <s v="DuSable Harbor"/>
    <s v="KA1503000064"/>
    <s v="Wells St &amp; Elm St"/>
    <s v="KA1504000135"/>
    <n v="41.887121999999998"/>
    <n v="-87.612425000000002"/>
    <n v="41.903320999999998"/>
    <n v="-87.634321999999997"/>
    <x v="1"/>
    <d v="1899-12-30T00:16:38"/>
    <x v="1"/>
    <x v="1"/>
  </r>
  <r>
    <s v="02D4869E0545D66B"/>
    <x v="2"/>
    <d v="2023-11-29T08:57:41"/>
    <d v="2023-11-29T09:16:36"/>
    <s v="State St &amp; 33rd St"/>
    <n v="21213"/>
    <s v="DuSable Harbor"/>
    <s v="KA1503000064"/>
    <n v="41.834871"/>
    <n v="-87.626242000000005"/>
    <n v="41.886837999999997"/>
    <n v="-87.612778000000006"/>
    <x v="0"/>
    <d v="1899-12-30T00:18:55"/>
    <x v="1"/>
    <x v="1"/>
  </r>
  <r>
    <s v="02F900BD0327F6D9"/>
    <x v="0"/>
    <d v="2023-11-29T15:18:54"/>
    <d v="2023-11-29T15:23:17"/>
    <s v="Canal St &amp; Adams St"/>
    <n v="13011"/>
    <s v="Clinton St &amp; Madison St"/>
    <s v="TA1305000032"/>
    <n v="41.879384000000002"/>
    <n v="-87.640146999999999"/>
    <n v="41.882542999999998"/>
    <n v="-87.640934000000001"/>
    <x v="0"/>
    <d v="1899-12-30T00:04:23"/>
    <x v="1"/>
    <x v="1"/>
  </r>
  <r>
    <s v="02AB299D01CC054A"/>
    <x v="0"/>
    <d v="2023-12-02T05:51:59"/>
    <d v="2023-12-02T05:59:26"/>
    <s v="Broadway &amp; Barry Ave"/>
    <n v="13137"/>
    <s v="Michigan Ave &amp; Oak St"/>
    <n v="13042"/>
    <n v="41.937657999999999"/>
    <n v="-87.644255999999999"/>
    <n v="41.901269999999997"/>
    <n v="-87.624038999999996"/>
    <x v="0"/>
    <d v="1899-12-30T00:07:27"/>
    <x v="4"/>
    <x v="4"/>
  </r>
  <r>
    <s v="0535C9FA05437A6C"/>
    <x v="2"/>
    <d v="2023-12-03T03:00:59"/>
    <d v="2023-12-03T03:42:34"/>
    <s v="State St &amp; 33rd St"/>
    <n v="21213"/>
    <s v="Millennium Park"/>
    <n v="13008"/>
    <n v="41.835168000000003"/>
    <n v="-87.625961000000004"/>
    <n v="41.880633000000003"/>
    <n v="-87.624098000000004"/>
    <x v="0"/>
    <d v="1899-12-30T00:41:35"/>
    <x v="0"/>
    <x v="0"/>
  </r>
  <r>
    <s v="03BEB40E0578C692"/>
    <x v="2"/>
    <d v="2023-12-03T14:58:18"/>
    <d v="2023-12-03T15:05:52"/>
    <s v="Dearborn St &amp; Erie St"/>
    <n v="13045"/>
    <s v="Broadway &amp; Barry Ave"/>
    <n v="13137"/>
    <n v="41.893811999999997"/>
    <n v="-87.629379999999998"/>
    <n v="41.937981000000001"/>
    <n v="-87.643636000000001"/>
    <x v="0"/>
    <d v="1899-12-30T00:07:34"/>
    <x v="0"/>
    <x v="0"/>
  </r>
  <r>
    <s v="00F0E11903F2BF1B"/>
    <x v="0"/>
    <d v="2023-12-04T02:27:40"/>
    <d v="2023-12-04T02:33:33"/>
    <s v="Theater on the Lake"/>
    <s v="TA1308000001"/>
    <s v="Theater on the Lake"/>
    <s v="TA1308000001"/>
    <n v="41.926774000000002"/>
    <n v="-87.630831999999998"/>
    <n v="41.926372000000001"/>
    <n v="-87.631266999999994"/>
    <x v="0"/>
    <d v="1899-12-30T00:05:53"/>
    <x v="5"/>
    <x v="5"/>
  </r>
  <r>
    <s v="00DD9C8F055EC7D1"/>
    <x v="0"/>
    <d v="2023-12-04T18:38:18"/>
    <d v="2023-12-04T18:50:30"/>
    <s v="Broadway &amp; Barry Ave"/>
    <n v="13137"/>
    <s v="Dearborn St &amp; Erie St"/>
    <n v="13045"/>
    <n v="41.937595999999999"/>
    <n v="-87.644345000000001"/>
    <n v="41.894480000000001"/>
    <n v="-87.629526999999996"/>
    <x v="0"/>
    <d v="1899-12-30T00:12:12"/>
    <x v="5"/>
    <x v="5"/>
  </r>
  <r>
    <s v="0273D6E201DA9F18"/>
    <x v="0"/>
    <d v="2023-12-04T21:41:34"/>
    <d v="2023-12-04T21:58:14"/>
    <s v="Millennium Park"/>
    <n v="13008"/>
    <s v="Streeter Dr &amp; Grand Ave"/>
    <n v="13022"/>
    <n v="41.881025999999999"/>
    <n v="-87.624404999999996"/>
    <n v="41.892144000000002"/>
    <n v="-87.611799000000005"/>
    <x v="0"/>
    <d v="1899-12-30T00:16:40"/>
    <x v="5"/>
    <x v="5"/>
  </r>
  <r>
    <s v="04257D2204F0DD33"/>
    <x v="2"/>
    <d v="2023-12-05T06:17:10"/>
    <d v="2023-12-05T06:48:57"/>
    <s v="Theater on the Lake"/>
    <s v="TA1308000001"/>
    <s v="Canal St &amp; Adams St"/>
    <n v="13011"/>
    <n v="41.926248000000001"/>
    <n v="-87.630354999999994"/>
    <n v="41.879389000000003"/>
    <n v="-87.640277999999995"/>
    <x v="1"/>
    <d v="1899-12-30T00:31:47"/>
    <x v="6"/>
    <x v="6"/>
  </r>
  <r>
    <s v="01C7E5D20561AA05"/>
    <x v="0"/>
    <d v="2023-12-05T11:12:04"/>
    <d v="2023-12-05T11:48:09"/>
    <s v="Broadway &amp; Barry Ave"/>
    <n v="13137"/>
    <s v="Broadway &amp; Barry Ave"/>
    <n v="13137"/>
    <n v="41.937882000000002"/>
    <n v="-87.644045000000006"/>
    <n v="41.937479000000003"/>
    <n v="-87.644465999999994"/>
    <x v="1"/>
    <d v="1899-12-30T00:36:05"/>
    <x v="6"/>
    <x v="6"/>
  </r>
  <r>
    <s v="0288FD1E0580B39C"/>
    <x v="2"/>
    <d v="2023-12-06T10:04:38"/>
    <d v="2023-12-06T10:16:47"/>
    <s v="Columbus Dr &amp; Randolph St"/>
    <n v="13263"/>
    <s v="Columbus Dr &amp; Randolph St"/>
    <n v="13263"/>
    <n v="41.884829000000003"/>
    <n v="-87.619680000000002"/>
    <n v="41.885145000000001"/>
    <n v="-87.619613999999999"/>
    <x v="0"/>
    <d v="1899-12-30T00:12:09"/>
    <x v="1"/>
    <x v="1"/>
  </r>
  <r>
    <s v="05848A45027D5C6D"/>
    <x v="0"/>
    <d v="2023-12-07T08:21:47"/>
    <d v="2023-12-07T08:27:56"/>
    <s v="DuSable Harbor"/>
    <s v="KA1503000064"/>
    <s v="Michigan Ave &amp; Oak St"/>
    <n v="13042"/>
    <n v="41.887127"/>
    <n v="-87.612768000000003"/>
    <n v="41.900522000000002"/>
    <n v="-87.623763999999994"/>
    <x v="0"/>
    <d v="1899-12-30T00:06:09"/>
    <x v="2"/>
    <x v="2"/>
  </r>
  <r>
    <s v="038358BE03F2833D"/>
    <x v="0"/>
    <d v="2023-12-08T13:04:51"/>
    <d v="2023-12-08T13:09:05"/>
    <s v="Theater on the Lake"/>
    <s v="TA1308000001"/>
    <s v="Clark St &amp; Elm St"/>
    <s v="TA1307000024"/>
    <n v="41.926299"/>
    <n v="-87.630564000000007"/>
    <n v="41.902689000000002"/>
    <n v="-87.631157000000002"/>
    <x v="0"/>
    <d v="1899-12-30T00:04:14"/>
    <x v="3"/>
    <x v="3"/>
  </r>
  <r>
    <s v="03DBBD54016FA5D4"/>
    <x v="2"/>
    <d v="2023-12-08T23:45:37"/>
    <d v="2023-12-08T23:52:27"/>
    <s v="Theater on the Lake"/>
    <s v="TA1308000001"/>
    <s v="Theater on the Lake"/>
    <s v="TA1308000001"/>
    <n v="41.92606"/>
    <n v="-87.630915000000002"/>
    <n v="41.926070000000003"/>
    <n v="-87.631001999999995"/>
    <x v="1"/>
    <d v="1899-12-30T00:06:50"/>
    <x v="3"/>
    <x v="3"/>
  </r>
  <r>
    <s v="0354E19601EE1961"/>
    <x v="0"/>
    <d v="2023-12-09T15:56:30"/>
    <d v="2023-12-09T16:01:09"/>
    <s v="Streeter Dr &amp; Grand Ave"/>
    <n v="13022"/>
    <s v="DuSable Harbor"/>
    <s v="KA1503000064"/>
    <n v="41.891879000000003"/>
    <n v="-87.61215"/>
    <n v="41.887093"/>
    <n v="-87.612452000000005"/>
    <x v="0"/>
    <d v="1899-12-30T00:04:39"/>
    <x v="4"/>
    <x v="4"/>
  </r>
  <r>
    <s v="02EED46800DA9E0C"/>
    <x v="0"/>
    <d v="2023-12-09T23:46:02"/>
    <d v="2023-12-10T00:00:33"/>
    <s v="Clinton St &amp; Madison St"/>
    <s v="TA1305000032"/>
    <s v="Clinton St &amp; Madison St"/>
    <s v="TA1305000032"/>
    <n v="41.881799999999998"/>
    <n v="-87.641223999999994"/>
    <n v="41.882012000000003"/>
    <n v="-87.640600000000006"/>
    <x v="1"/>
    <d v="1899-12-30T00:14:31"/>
    <x v="4"/>
    <x v="4"/>
  </r>
  <r>
    <s v="039A65B501EA8A37"/>
    <x v="2"/>
    <d v="2023-12-10T03:56:44"/>
    <d v="2023-12-10T04:11:07"/>
    <s v="Broadway &amp; Barry Ave"/>
    <n v="13137"/>
    <s v="DuSable Harbor"/>
    <s v="KA1503000064"/>
    <n v="41.937818999999998"/>
    <n v="-87.643623000000005"/>
    <n v="41.886527999999998"/>
    <n v="-87.612630999999993"/>
    <x v="1"/>
    <d v="1899-12-30T00:14:23"/>
    <x v="0"/>
    <x v="0"/>
  </r>
  <r>
    <s v="04C813C504AECFF2"/>
    <x v="0"/>
    <d v="2023-12-10T11:48:55"/>
    <d v="2023-12-10T12:05:28"/>
    <s v="Broadway &amp; Barry Ave"/>
    <n v="13137"/>
    <s v="State St &amp; 33rd St"/>
    <n v="21213"/>
    <n v="41.937721000000003"/>
    <n v="-87.644457000000003"/>
    <n v="41.835155"/>
    <n v="-87.626219000000006"/>
    <x v="0"/>
    <d v="1899-12-30T00:16:33"/>
    <x v="0"/>
    <x v="0"/>
  </r>
  <r>
    <s v="02DB7BCD00A9D3AF"/>
    <x v="0"/>
    <d v="2023-12-13T07:36:37"/>
    <d v="2023-12-13T08:18:33"/>
    <s v="Streeter Dr &amp; Grand Ave"/>
    <n v="13022"/>
    <s v="Dearborn St &amp; Erie St"/>
    <n v="13045"/>
    <n v="41.891916999999999"/>
    <n v="-87.612022999999994"/>
    <n v="41.893529000000001"/>
    <n v="-87.629737000000006"/>
    <x v="1"/>
    <d v="1899-12-30T00:41:56"/>
    <x v="1"/>
    <x v="1"/>
  </r>
  <r>
    <s v="04FF7847033AF9FE"/>
    <x v="2"/>
    <d v="2023-12-14T11:09:56"/>
    <d v="2023-12-14T11:27:44"/>
    <s v="Wells St &amp; Elm St"/>
    <s v="KA1504000135"/>
    <s v="Theater on the Lake"/>
    <s v="TA1308000001"/>
    <n v="41.903157999999998"/>
    <n v="-87.634022000000002"/>
    <n v="41.926755"/>
    <n v="-87.630778000000007"/>
    <x v="1"/>
    <d v="1899-12-30T00:17:48"/>
    <x v="2"/>
    <x v="2"/>
  </r>
  <r>
    <s v="0338FBD30517559D"/>
    <x v="2"/>
    <d v="2023-12-15T04:54:32"/>
    <d v="2023-12-15T05:01:58"/>
    <s v="Columbus Dr &amp; Randolph St"/>
    <n v="13263"/>
    <s v="Columbus Dr &amp; Randolph St"/>
    <n v="13263"/>
    <n v="41.884580999999997"/>
    <n v="-87.619715999999997"/>
    <n v="41.884393000000003"/>
    <n v="-87.619487000000007"/>
    <x v="0"/>
    <d v="1899-12-30T00:07:26"/>
    <x v="3"/>
    <x v="3"/>
  </r>
  <r>
    <s v="00BE0FEE011377B8"/>
    <x v="0"/>
    <d v="2023-12-20T03:47:13"/>
    <d v="2023-12-20T03:53:42"/>
    <s v="Canal St &amp; Adams St"/>
    <n v="13011"/>
    <s v="Columbus Dr &amp; Randolph St"/>
    <n v="13263"/>
    <n v="41.879109999999997"/>
    <n v="-87.640002999999993"/>
    <n v="41.884343000000001"/>
    <n v="-87.619138000000007"/>
    <x v="0"/>
    <d v="1899-12-30T00:06:29"/>
    <x v="1"/>
    <x v="1"/>
  </r>
  <r>
    <s v="037C1EC80533BE65"/>
    <x v="2"/>
    <d v="2023-12-20T11:14:27"/>
    <d v="2023-12-20T11:29:07"/>
    <s v="Kingsbury St &amp; Kinzie St"/>
    <s v="KA1503000043"/>
    <s v="Kingsbury St &amp; Kinzie St"/>
    <s v="KA1503000043"/>
    <n v="41.889567"/>
    <n v="-87.638993999999997"/>
    <n v="41.889046999999998"/>
    <n v="-87.638979000000006"/>
    <x v="0"/>
    <d v="1899-12-30T00:14:40"/>
    <x v="1"/>
    <x v="1"/>
  </r>
  <r>
    <s v="0288D977014170FE"/>
    <x v="2"/>
    <d v="2023-12-21T12:14:14"/>
    <d v="2023-12-21T12:20:34"/>
    <s v="Theater on the Lake"/>
    <s v="TA1308000001"/>
    <s v="State St &amp; 33rd St"/>
    <n v="21213"/>
    <n v="41.926473000000001"/>
    <n v="-87.630390000000006"/>
    <n v="41.835230000000003"/>
    <n v="-87.625862999999995"/>
    <x v="0"/>
    <d v="1899-12-30T00:06:20"/>
    <x v="2"/>
    <x v="2"/>
  </r>
  <r>
    <s v="04AC491A05958F85"/>
    <x v="2"/>
    <d v="2023-12-21T20:49:56"/>
    <d v="2023-12-21T21:11:57"/>
    <s v="Millennium Park"/>
    <n v="13008"/>
    <s v="Millennium Park"/>
    <n v="13008"/>
    <n v="41.881397999999997"/>
    <n v="-87.624139999999997"/>
    <n v="41.880668999999997"/>
    <n v="-87.623722000000001"/>
    <x v="0"/>
    <d v="1899-12-30T00:22:01"/>
    <x v="2"/>
    <x v="2"/>
  </r>
  <r>
    <s v="022E3ACA0364A1C1"/>
    <x v="2"/>
    <d v="2023-12-22T04:48:23"/>
    <d v="2023-12-22T04:53:11"/>
    <s v="Millennium Park"/>
    <n v="13008"/>
    <s v="Clinton St &amp; Madison St"/>
    <s v="TA1305000032"/>
    <n v="41.880786000000001"/>
    <n v="-87.623942"/>
    <n v="41.882018000000002"/>
    <n v="-87.641070999999997"/>
    <x v="0"/>
    <d v="1899-12-30T00:04:48"/>
    <x v="3"/>
    <x v="3"/>
  </r>
  <r>
    <s v="02EAEE0C04CA03D6"/>
    <x v="2"/>
    <d v="2023-12-23T16:56:47"/>
    <d v="2023-12-23T17:43:00"/>
    <s v="Wells St &amp; Elm St"/>
    <s v="KA1504000135"/>
    <s v="State St &amp; 33rd St"/>
    <n v="21213"/>
    <n v="41.903722000000002"/>
    <n v="-87.634417999999997"/>
    <n v="41.834454000000001"/>
    <n v="-87.625551000000002"/>
    <x v="1"/>
    <d v="1899-12-30T00:46:13"/>
    <x v="4"/>
    <x v="4"/>
  </r>
  <r>
    <s v="017ED967018C584E"/>
    <x v="0"/>
    <d v="2023-12-24T01:26:07"/>
    <d v="2023-12-24T01:54:20"/>
    <s v="State St &amp; 33rd St"/>
    <n v="21213"/>
    <s v="Wells St &amp; Concord Ln"/>
    <s v="TA1308000070"/>
    <n v="41.834975"/>
    <n v="-87.625484999999998"/>
    <n v="41.912601000000002"/>
    <n v="-87.634265999999997"/>
    <x v="1"/>
    <d v="1899-12-30T00:28:13"/>
    <x v="0"/>
    <x v="0"/>
  </r>
  <r>
    <s v="0420602203809F6A"/>
    <x v="0"/>
    <d v="2023-12-24T04:36:48"/>
    <d v="2023-12-24T04:43:12"/>
    <s v="Wells St &amp; Concord Ln"/>
    <s v="TA1308000070"/>
    <s v="Theater on the Lake"/>
    <s v="TA1308000001"/>
    <n v="41.912478999999998"/>
    <n v="-87.634463999999994"/>
    <n v="41.926206999999998"/>
    <n v="-87.630661000000003"/>
    <x v="0"/>
    <d v="1899-12-30T00:06:24"/>
    <x v="0"/>
    <x v="0"/>
  </r>
  <r>
    <s v="056DC38801B8E9A1"/>
    <x v="0"/>
    <d v="2023-12-25T02:18:34"/>
    <d v="2023-12-25T02:31:47"/>
    <s v="Canal St &amp; Adams St"/>
    <n v="13011"/>
    <s v="DuSable Harbor"/>
    <s v="KA1503000064"/>
    <n v="41.878760999999997"/>
    <n v="-87.640303000000003"/>
    <n v="41.887345000000003"/>
    <n v="-87.612630999999993"/>
    <x v="0"/>
    <d v="1899-12-30T00:13:13"/>
    <x v="5"/>
    <x v="5"/>
  </r>
  <r>
    <s v="05393F1A02D6A525"/>
    <x v="0"/>
    <d v="2023-12-25T03:57:24"/>
    <d v="2023-12-25T04:26:31"/>
    <s v="Streeter Dr &amp; Grand Ave"/>
    <n v="13022"/>
    <s v="Theater on the Lake"/>
    <s v="TA1308000001"/>
    <n v="41.89188"/>
    <n v="-87.611632"/>
    <n v="41.926597999999998"/>
    <n v="-87.630573999999996"/>
    <x v="0"/>
    <d v="1899-12-30T00:29:07"/>
    <x v="5"/>
    <x v="5"/>
  </r>
  <r>
    <s v="0581AD1000C17FF6"/>
    <x v="2"/>
    <d v="2023-12-25T04:11:01"/>
    <d v="2023-12-25T04:15:13"/>
    <s v="Broadway &amp; Barry Ave"/>
    <n v="13137"/>
    <s v="Canal St &amp; Adams St"/>
    <n v="13011"/>
    <n v="41.937944999999999"/>
    <n v="-87.644197000000005"/>
    <n v="41.879047999999997"/>
    <n v="-87.640252000000004"/>
    <x v="0"/>
    <d v="1899-12-30T00:04:12"/>
    <x v="5"/>
    <x v="5"/>
  </r>
  <r>
    <s v="036AD0E902B42F04"/>
    <x v="2"/>
    <d v="2023-12-25T18:57:01"/>
    <d v="2023-12-25T19:08:30"/>
    <s v="Canal St &amp; Adams St"/>
    <n v="13011"/>
    <s v="Millennium Park"/>
    <n v="13008"/>
    <n v="41.879159999999999"/>
    <n v="-87.640400999999997"/>
    <n v="41.881382000000002"/>
    <n v="-87.624202999999994"/>
    <x v="0"/>
    <d v="1899-12-30T00:11:29"/>
    <x v="5"/>
    <x v="5"/>
  </r>
  <r>
    <s v="01EB0102035B6580"/>
    <x v="2"/>
    <d v="2023-12-25T21:14:08"/>
    <d v="2023-12-25T21:32:33"/>
    <s v="Dearborn St &amp; Erie St"/>
    <n v="13045"/>
    <s v="Michigan Ave &amp; Oak St"/>
    <n v="13042"/>
    <n v="41.893523000000002"/>
    <n v="-87.629182"/>
    <n v="41.900773999999998"/>
    <n v="-87.623767999999998"/>
    <x v="0"/>
    <d v="1899-12-30T00:18:25"/>
    <x v="5"/>
    <x v="5"/>
  </r>
  <r>
    <s v="0486FA3202F59503"/>
    <x v="0"/>
    <d v="2023-12-25T21:19:09"/>
    <d v="2023-12-25T21:32:54"/>
    <s v="DuSable Harbor"/>
    <s v="KA1503000064"/>
    <s v="Wells St &amp; Concord Ln"/>
    <s v="TA1308000070"/>
    <n v="41.887455000000003"/>
    <n v="-87.612472999999994"/>
    <n v="41.912500000000001"/>
    <n v="-87.634748000000002"/>
    <x v="1"/>
    <d v="1899-12-30T00:13:45"/>
    <x v="5"/>
    <x v="5"/>
  </r>
  <r>
    <s v="03D74C6B03EE9741"/>
    <x v="0"/>
    <d v="2023-12-28T02:30:37"/>
    <d v="2023-12-28T02:35:01"/>
    <s v="DuSable Harbor"/>
    <s v="KA1503000064"/>
    <s v="Canal St &amp; Adams St"/>
    <n v="13011"/>
    <n v="41.887079999999997"/>
    <n v="-87.612405999999993"/>
    <n v="41.878993999999999"/>
    <n v="-87.639933999999997"/>
    <x v="0"/>
    <d v="1899-12-30T00:04:24"/>
    <x v="2"/>
    <x v="2"/>
  </r>
  <r>
    <s v="028593FC01D6B83B"/>
    <x v="2"/>
    <d v="2023-12-28T07:17:41"/>
    <d v="2023-12-28T07:25:34"/>
    <s v="Clinton St &amp; Madison St"/>
    <s v="TA1305000032"/>
    <s v="Millennium Park"/>
    <n v="13008"/>
    <n v="41.882443000000002"/>
    <n v="-87.641452999999998"/>
    <n v="41.881529"/>
    <n v="-87.624401000000006"/>
    <x v="0"/>
    <d v="1899-12-30T00:07:53"/>
    <x v="2"/>
    <x v="2"/>
  </r>
  <r>
    <s v="03F3709B05123C90"/>
    <x v="0"/>
    <d v="2023-12-28T08:25:24"/>
    <d v="2023-12-28T08:48:08"/>
    <s v="Michigan Ave &amp; Oak St"/>
    <n v="13042"/>
    <s v="Michigan Ave &amp; Oak St"/>
    <n v="13042"/>
    <n v="41.901271000000001"/>
    <n v="-87.623641000000006"/>
    <n v="41.900848000000003"/>
    <n v="-87.623603000000003"/>
    <x v="0"/>
    <d v="1899-12-30T00:22:44"/>
    <x v="2"/>
    <x v="2"/>
  </r>
  <r>
    <s v="048445DF01E75404"/>
    <x v="0"/>
    <d v="2023-12-28T13:13:38"/>
    <d v="2023-12-28T13:21:26"/>
    <s v="Clark St &amp; Elm St"/>
    <s v="TA1307000024"/>
    <s v="Theater on the Lake"/>
    <s v="TA1308000001"/>
    <n v="41.903025999999997"/>
    <n v="-87.631276999999997"/>
    <n v="41.925970999999997"/>
    <n v="-87.630475000000004"/>
    <x v="0"/>
    <d v="1899-12-30T00:07:48"/>
    <x v="2"/>
    <x v="2"/>
  </r>
  <r>
    <s v="037C93EE0124BB98"/>
    <x v="2"/>
    <d v="2023-12-29T04:09:15"/>
    <d v="2023-12-29T04:33:58"/>
    <s v="Clark St &amp; Elm St"/>
    <s v="TA1307000024"/>
    <s v="Millennium Park"/>
    <n v="13008"/>
    <n v="41.902571999999999"/>
    <n v="-87.631378999999995"/>
    <n v="41.881332"/>
    <n v="-87.624380000000002"/>
    <x v="0"/>
    <d v="1899-12-30T00:24:43"/>
    <x v="3"/>
    <x v="3"/>
  </r>
  <r>
    <s v="02FCAB6301337D37"/>
    <x v="0"/>
    <d v="2023-12-29T11:15:49"/>
    <d v="2023-12-29T11:25:55"/>
    <s v="Theater on the Lake"/>
    <s v="TA1308000001"/>
    <s v="DuSable Harbor"/>
    <s v="KA1503000064"/>
    <n v="41.926509000000003"/>
    <n v="-87.630786000000001"/>
    <n v="41.886603999999998"/>
    <n v="-87.612431000000001"/>
    <x v="0"/>
    <d v="1899-12-30T00:10:06"/>
    <x v="3"/>
    <x v="3"/>
  </r>
  <r>
    <s v="018851E000DCA574"/>
    <x v="2"/>
    <d v="2023-12-29T14:21:40"/>
    <d v="2023-12-29T14:32:16"/>
    <s v="Streeter Dr &amp; Grand Ave"/>
    <n v="13022"/>
    <s v="Broadway &amp; Barry Ave"/>
    <n v="13137"/>
    <n v="41.892310000000002"/>
    <n v="-87.611662999999993"/>
    <n v="41.937657000000002"/>
    <n v="-87.644568000000007"/>
    <x v="0"/>
    <d v="1899-12-30T00:10:36"/>
    <x v="3"/>
    <x v="3"/>
  </r>
  <r>
    <s v="057060F904A324AD"/>
    <x v="0"/>
    <d v="2023-12-29T21:38:52"/>
    <d v="2023-12-29T21:54:17"/>
    <s v="Clinton St &amp; Madison St"/>
    <s v="TA1305000032"/>
    <s v="Broadway &amp; Barry Ave"/>
    <n v="13137"/>
    <n v="41.882179000000001"/>
    <n v="-87.640649999999994"/>
    <n v="41.937804"/>
    <n v="-87.643987999999993"/>
    <x v="0"/>
    <d v="1899-12-30T00:15:25"/>
    <x v="3"/>
    <x v="3"/>
  </r>
  <r>
    <s v="01FB70F205B908F5"/>
    <x v="1"/>
    <d v="2023-12-30T13:20:56"/>
    <d v="2023-12-30T13:53:15"/>
    <s v="Theater on the Lake"/>
    <s v="TA1308000001"/>
    <s v="Broadway &amp; Barry Ave"/>
    <n v="13137"/>
    <n v="41.926532000000002"/>
    <n v="-87.631206000000006"/>
    <n v="41.937908"/>
    <n v="-87.643816000000001"/>
    <x v="1"/>
    <d v="1899-12-30T00:32:19"/>
    <x v="4"/>
    <x v="4"/>
  </r>
  <r>
    <s v="030A0C3104F29905"/>
    <x v="2"/>
    <d v="2023-12-30T15:36:20"/>
    <d v="2023-12-30T15:43:41"/>
    <s v="Michigan Ave &amp; Oak St"/>
    <n v="13042"/>
    <s v="Columbus Dr &amp; Randolph St"/>
    <n v="13263"/>
    <n v="41.900633999999997"/>
    <n v="-87.623564999999999"/>
    <n v="41.885053999999997"/>
    <n v="-87.619919999999993"/>
    <x v="0"/>
    <d v="1899-12-30T00:07:21"/>
    <x v="4"/>
    <x v="4"/>
  </r>
  <r>
    <s v="03B0B85A05657821"/>
    <x v="2"/>
    <d v="2023-12-30T20:42:50"/>
    <d v="2023-12-30T20:50:14"/>
    <s v="Wells St &amp; Concord Ln"/>
    <s v="TA1308000070"/>
    <s v="Wells St &amp; Concord Ln"/>
    <s v="TA1308000070"/>
    <n v="41.911667000000001"/>
    <n v="-87.634844999999999"/>
    <n v="41.912413000000001"/>
    <n v="-87.634878"/>
    <x v="0"/>
    <d v="1899-12-30T00:07:24"/>
    <x v="4"/>
    <x v="4"/>
  </r>
  <r>
    <s v="055D2EF5009E9662"/>
    <x v="1"/>
    <d v="2023-12-30T23:34:13"/>
    <d v="2023-12-30T23:46:23"/>
    <s v="Wells St &amp; Concord Ln"/>
    <s v="TA1308000070"/>
    <s v="Dearborn St &amp; Erie St"/>
    <n v="13045"/>
    <n v="41.912356000000003"/>
    <n v="-87.635019999999997"/>
    <n v="41.894328000000002"/>
    <n v="-87.629662999999994"/>
    <x v="0"/>
    <d v="1899-12-30T00:12:10"/>
    <x v="4"/>
    <x v="4"/>
  </r>
  <r>
    <s v="0175FB0302407DA3"/>
    <x v="0"/>
    <d v="2023-12-31T04:05:38"/>
    <d v="2023-12-31T04:16:03"/>
    <s v="Michigan Ave &amp; Oak St"/>
    <n v="13042"/>
    <s v="Michigan Ave &amp; Oak St"/>
    <n v="13042"/>
    <n v="41.900953000000001"/>
    <n v="-87.624266000000006"/>
    <n v="41.900928999999998"/>
    <n v="-87.624221000000006"/>
    <x v="0"/>
    <d v="1899-12-30T00:10:25"/>
    <x v="0"/>
    <x v="0"/>
  </r>
  <r>
    <s v="05078AB403FAB22B"/>
    <x v="0"/>
    <d v="2023-12-31T05:43:16"/>
    <d v="2023-12-31T06:38:11"/>
    <s v="State St &amp; 33rd St"/>
    <n v="21213"/>
    <s v="Streeter Dr &amp; Grand Ave"/>
    <n v="13022"/>
    <n v="41.834719"/>
    <n v="-87.625800999999996"/>
    <n v="41.892519999999998"/>
    <n v="-87.611844000000005"/>
    <x v="1"/>
    <d v="1899-12-30T00:54:55"/>
    <x v="0"/>
    <x v="0"/>
  </r>
  <r>
    <s v="05104E0C05136438"/>
    <x v="0"/>
    <d v="2024-01-01T01:46:18"/>
    <d v="2024-01-01T01:53:25"/>
    <s v="Dearborn St &amp; Erie St"/>
    <n v="13045"/>
    <s v="Michigan Ave &amp; Oak St"/>
    <n v="13042"/>
    <n v="41.893970000000003"/>
    <n v="-87.629232000000002"/>
    <n v="41.901001000000001"/>
    <n v="-87.624190999999996"/>
    <x v="0"/>
    <d v="1899-12-30T00:07:07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06987-4FA0-47E5-AAC9-E9DE81A0EA2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E24" firstHeaderRow="1" firstDataRow="2" firstDataCol="1"/>
  <pivotFields count="16">
    <pivotField dataField="1" showAll="0"/>
    <pivotField axis="axisCol" showAll="0">
      <items count="4">
        <item x="0"/>
        <item x="1"/>
        <item x="2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64"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ride_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021B3-3997-4814-9402-987F120C9C7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:Q15" firstHeaderRow="1" firstDataRow="3" firstDataCol="1"/>
  <pivotFields count="16">
    <pivotField showAll="0"/>
    <pivotField dataField="1"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numFmtId="164" showAll="0"/>
    <pivotField showAll="0"/>
    <pivotField axis="axisCol" showAll="0">
      <items count="8">
        <item x="0"/>
        <item x="5"/>
        <item x="6"/>
        <item x="1"/>
        <item x="2"/>
        <item x="3"/>
        <item x="4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2">
    <field x="15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Average of ride_length" fld="13" subtotal="average" baseField="12" baseItem="0" numFmtId="164"/>
    <dataField name="Count of rideable_type" fld="1" subtotal="count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1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1E93C-394F-4272-97C9-38DCA3D74B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6"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numFmtId="164" showAll="0"/>
    <pivotField showAll="0">
      <items count="8">
        <item x="0"/>
        <item x="5"/>
        <item x="6"/>
        <item x="1"/>
        <item x="2"/>
        <item x="3"/>
        <item x="4"/>
        <item t="default"/>
      </items>
    </pivotField>
    <pivotField showAll="0">
      <items count="8">
        <item x="0"/>
        <item x="5"/>
        <item x="6"/>
        <item x="1"/>
        <item x="2"/>
        <item x="3"/>
        <item x="4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ride_length" fld="13" subtotal="average" baseField="12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428BB-7231-4F53-BF10-EF4549D9CE93}" name="Table2" displayName="Table2" ref="A1:P501" totalsRowShown="0">
  <autoFilter ref="A1:P501" xr:uid="{31D428BB-7231-4F53-BF10-EF4549D9CE93}"/>
  <tableColumns count="16">
    <tableColumn id="1" xr3:uid="{CF39C92F-9DA5-4009-AEBA-D80048181B38}" name="ride_id"/>
    <tableColumn id="2" xr3:uid="{E687306A-C116-49E1-8AC1-A818AB825556}" name="rideable_type"/>
    <tableColumn id="3" xr3:uid="{BFDFC096-BA71-45F3-A6D8-6D46AEF6E04C}" name="started_at" dataDxfId="2"/>
    <tableColumn id="4" xr3:uid="{3BE093D4-9845-4526-B691-BA70C644B1AF}" name="ended_at" dataDxfId="1"/>
    <tableColumn id="5" xr3:uid="{9BCB1187-5074-4A91-BD0A-060765FFFDB0}" name="start_station_name"/>
    <tableColumn id="6" xr3:uid="{8406CF8C-BB27-41A5-AA14-39635324FE5F}" name="start_station_id"/>
    <tableColumn id="7" xr3:uid="{E534FB9F-22F6-475E-8ECA-08D011BA6B90}" name="end_station_name"/>
    <tableColumn id="8" xr3:uid="{F1780C02-D4A7-4333-BC03-3711EDA4762A}" name="end_station_id"/>
    <tableColumn id="9" xr3:uid="{173BD9C7-FD17-4613-B2D7-7B2E24F822C0}" name="start_lat"/>
    <tableColumn id="10" xr3:uid="{3B601763-1A2F-4D8C-967E-10A8F5DD6533}" name="start_lng"/>
    <tableColumn id="11" xr3:uid="{602CEEDC-F01D-40AF-92E4-2F0DAA1B96AB}" name="end_lat"/>
    <tableColumn id="12" xr3:uid="{5859E278-5AC6-4181-B785-619C0EE507CD}" name="end_lng"/>
    <tableColumn id="13" xr3:uid="{E4FED7FF-59DA-42B8-9664-F2BF4BDC8FC3}" name="member_casual"/>
    <tableColumn id="14" xr3:uid="{F6FB7208-1B2D-4282-B7F3-AE79D956D336}" name="ride_length" dataDxfId="0"/>
    <tableColumn id="15" xr3:uid="{D336AEB5-E648-4D10-9A27-BDD2CE6E697C}" name="day_of_week"/>
    <tableColumn id="16" xr3:uid="{08703A1C-F840-4EF3-B1C7-6B3CF00638D5}" name="day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56FB4-43D0-4DA9-9BC9-8332B2A4ED96}" name="Table1" displayName="Table1" ref="A1:P501" totalsRowShown="0" headerRowDxfId="20" dataDxfId="19">
  <autoFilter ref="A1:P501" xr:uid="{1E556FB4-43D0-4DA9-9BC9-8332B2A4ED96}"/>
  <tableColumns count="16">
    <tableColumn id="1" xr3:uid="{6BB41263-2267-4358-BF1C-058810F2A129}" name="ride_id" dataDxfId="18"/>
    <tableColumn id="2" xr3:uid="{6316D7EC-8897-4C9F-B025-70E1E36A2D7A}" name="rideable_type" dataDxfId="17"/>
    <tableColumn id="3" xr3:uid="{9F965DF8-4130-400F-AE0A-0BD21C454D33}" name="started_at" dataDxfId="16"/>
    <tableColumn id="4" xr3:uid="{08A54EE6-4B23-4E90-B0A9-4442AC8BF479}" name="ended_at" dataDxfId="15"/>
    <tableColumn id="5" xr3:uid="{0BB15B3B-FDE5-4D79-BE9C-4124EA2E7A93}" name="start_station_name" dataDxfId="14"/>
    <tableColumn id="6" xr3:uid="{D0DE892D-7B6A-4D93-8BAA-7960AA147495}" name="start_station_id" dataDxfId="13"/>
    <tableColumn id="7" xr3:uid="{2B6F20C2-695A-4045-9B7D-461A9B670E4B}" name="end_station_name" dataDxfId="12"/>
    <tableColumn id="8" xr3:uid="{B5DF65CE-B613-4BD8-9A73-E1292FCF1392}" name="end_station_id" dataDxfId="11"/>
    <tableColumn id="9" xr3:uid="{ABDF4D43-C1C5-494B-BD1F-0600BAE0331B}" name="start_lat" dataDxfId="10"/>
    <tableColumn id="10" xr3:uid="{9628C46F-001C-4094-B98A-CFEFDE2F9808}" name="start_lng" dataDxfId="9"/>
    <tableColumn id="11" xr3:uid="{E7BED601-21C2-4995-A66F-D159D1EED971}" name="end_lat" dataDxfId="8"/>
    <tableColumn id="12" xr3:uid="{950BE0CA-C50C-4740-8361-F2E1B135C173}" name="end_lng" dataDxfId="7"/>
    <tableColumn id="13" xr3:uid="{58ACE809-FEEA-46E6-B078-9F765933066E}" name="member_casual" dataDxfId="6"/>
    <tableColumn id="14" xr3:uid="{5A36FECD-7202-4267-B6E1-4D2BAACE5842}" name="ride_length" dataDxfId="5">
      <calculatedColumnFormula>D2-C2</calculatedColumnFormula>
    </tableColumn>
    <tableColumn id="15" xr3:uid="{D30DB5DD-0415-4A3F-BE0D-092390095EF6}" name="day_of_week" dataDxfId="4">
      <calculatedColumnFormula>WEEKDAY(C2,1)</calculatedColumnFormula>
    </tableColumn>
    <tableColumn id="16" xr3:uid="{0EEC9B1A-61E3-4FD5-8426-8429F50384EC}" name="day_name" dataDxfId="3">
      <calculatedColumnFormula>CHOOSE(O2,"Sun","Mon","Tue","Wed","Thu","Fri","Sat")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D9AA-945A-464D-A064-31E0788D975E}">
  <dimension ref="A1:P501"/>
  <sheetViews>
    <sheetView workbookViewId="0">
      <selection sqref="A1:P501"/>
    </sheetView>
  </sheetViews>
  <sheetFormatPr defaultRowHeight="15" x14ac:dyDescent="0.25"/>
  <cols>
    <col min="1" max="1" width="9.28515625" customWidth="1"/>
    <col min="2" max="2" width="15.42578125" customWidth="1"/>
    <col min="3" max="3" width="12.140625" customWidth="1"/>
    <col min="4" max="4" width="11.42578125" customWidth="1"/>
    <col min="5" max="5" width="20.28515625" customWidth="1"/>
    <col min="6" max="6" width="17" customWidth="1"/>
    <col min="7" max="7" width="19.5703125" customWidth="1"/>
    <col min="8" max="8" width="16.28515625" customWidth="1"/>
    <col min="9" max="9" width="10.42578125" customWidth="1"/>
    <col min="10" max="10" width="10.85546875" customWidth="1"/>
    <col min="11" max="11" width="9.7109375" customWidth="1"/>
    <col min="12" max="12" width="10.140625" customWidth="1"/>
    <col min="13" max="13" width="17.28515625" customWidth="1"/>
    <col min="14" max="14" width="13.28515625" customWidth="1"/>
    <col min="15" max="15" width="14.5703125" customWidth="1"/>
    <col min="16" max="16" width="12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538</v>
      </c>
      <c r="O1" t="s">
        <v>539</v>
      </c>
      <c r="P1" t="s">
        <v>540</v>
      </c>
    </row>
    <row r="2" spans="1:16" x14ac:dyDescent="0.25">
      <c r="A2" t="s">
        <v>29</v>
      </c>
      <c r="B2" t="s">
        <v>14</v>
      </c>
      <c r="C2" s="11">
        <v>44931.933946759258</v>
      </c>
      <c r="D2" s="11">
        <v>44931.966932870368</v>
      </c>
      <c r="E2" t="s">
        <v>27</v>
      </c>
      <c r="F2" t="s">
        <v>28</v>
      </c>
      <c r="G2" t="s">
        <v>30</v>
      </c>
      <c r="H2">
        <v>13137</v>
      </c>
      <c r="I2">
        <v>41.889280999999997</v>
      </c>
      <c r="J2">
        <v>-87.638503999999998</v>
      </c>
      <c r="K2">
        <v>41.937621999999998</v>
      </c>
      <c r="L2">
        <v>-87.644112000000007</v>
      </c>
      <c r="M2" t="s">
        <v>31</v>
      </c>
      <c r="N2" s="12">
        <v>3.2986111111111112E-2</v>
      </c>
      <c r="O2">
        <v>5</v>
      </c>
      <c r="P2" t="s">
        <v>558</v>
      </c>
    </row>
    <row r="3" spans="1:16" x14ac:dyDescent="0.25">
      <c r="A3" t="s">
        <v>36</v>
      </c>
      <c r="B3" t="s">
        <v>37</v>
      </c>
      <c r="C3" s="11">
        <v>44933.267581018517</v>
      </c>
      <c r="D3" s="11">
        <v>44933.329421296294</v>
      </c>
      <c r="E3" t="s">
        <v>27</v>
      </c>
      <c r="F3" t="s">
        <v>28</v>
      </c>
      <c r="G3" t="s">
        <v>35</v>
      </c>
      <c r="H3">
        <v>13022</v>
      </c>
      <c r="I3">
        <v>41.889167999999998</v>
      </c>
      <c r="J3">
        <v>-87.638283000000001</v>
      </c>
      <c r="K3">
        <v>41.892598999999997</v>
      </c>
      <c r="L3">
        <v>-87.611824999999996</v>
      </c>
      <c r="M3" t="s">
        <v>31</v>
      </c>
      <c r="N3" s="12">
        <v>6.1840277777777779E-2</v>
      </c>
      <c r="O3">
        <v>7</v>
      </c>
      <c r="P3" t="s">
        <v>560</v>
      </c>
    </row>
    <row r="4" spans="1:16" x14ac:dyDescent="0.25">
      <c r="A4" t="s">
        <v>38</v>
      </c>
      <c r="B4" t="s">
        <v>14</v>
      </c>
      <c r="C4" s="11">
        <v>44933.651608796295</v>
      </c>
      <c r="D4" s="11">
        <v>44933.669027777774</v>
      </c>
      <c r="E4" t="s">
        <v>16</v>
      </c>
      <c r="F4">
        <v>13045</v>
      </c>
      <c r="G4" t="s">
        <v>27</v>
      </c>
      <c r="H4" t="s">
        <v>28</v>
      </c>
      <c r="I4">
        <v>41.894136000000003</v>
      </c>
      <c r="J4">
        <v>-87.629292000000007</v>
      </c>
      <c r="K4">
        <v>41.889409000000001</v>
      </c>
      <c r="L4">
        <v>-87.638924000000003</v>
      </c>
      <c r="M4" t="s">
        <v>31</v>
      </c>
      <c r="N4" s="12">
        <v>1.741898148148148E-2</v>
      </c>
      <c r="O4">
        <v>7</v>
      </c>
      <c r="P4" t="s">
        <v>560</v>
      </c>
    </row>
    <row r="5" spans="1:16" x14ac:dyDescent="0.25">
      <c r="A5" t="s">
        <v>45</v>
      </c>
      <c r="B5" t="s">
        <v>37</v>
      </c>
      <c r="C5" s="11">
        <v>44935.280555555553</v>
      </c>
      <c r="D5" s="11">
        <v>44935.306574074071</v>
      </c>
      <c r="E5" t="s">
        <v>19</v>
      </c>
      <c r="F5" t="s">
        <v>20</v>
      </c>
      <c r="G5" t="s">
        <v>19</v>
      </c>
      <c r="H5" t="s">
        <v>20</v>
      </c>
      <c r="I5">
        <v>41.926031999999999</v>
      </c>
      <c r="J5">
        <v>-87.630672000000004</v>
      </c>
      <c r="K5">
        <v>41.926755999999997</v>
      </c>
      <c r="L5">
        <v>-87.630960000000002</v>
      </c>
      <c r="M5" t="s">
        <v>31</v>
      </c>
      <c r="N5" s="12">
        <v>2.6018518518518521E-2</v>
      </c>
      <c r="O5">
        <v>2</v>
      </c>
      <c r="P5" t="s">
        <v>555</v>
      </c>
    </row>
    <row r="6" spans="1:16" x14ac:dyDescent="0.25">
      <c r="A6" t="s">
        <v>50</v>
      </c>
      <c r="B6" t="s">
        <v>14</v>
      </c>
      <c r="C6" s="11">
        <v>44937.123043981483</v>
      </c>
      <c r="D6" s="11">
        <v>44937.135775462964</v>
      </c>
      <c r="E6" t="s">
        <v>35</v>
      </c>
      <c r="F6">
        <v>13022</v>
      </c>
      <c r="G6" t="s">
        <v>35</v>
      </c>
      <c r="H6">
        <v>13022</v>
      </c>
      <c r="I6">
        <v>41.892758999999998</v>
      </c>
      <c r="J6">
        <v>-87.611880999999997</v>
      </c>
      <c r="K6">
        <v>41.892595</v>
      </c>
      <c r="L6">
        <v>-87.611793000000006</v>
      </c>
      <c r="M6" t="s">
        <v>31</v>
      </c>
      <c r="N6" s="12">
        <v>1.2731481481481481E-2</v>
      </c>
      <c r="O6">
        <v>4</v>
      </c>
      <c r="P6" t="s">
        <v>557</v>
      </c>
    </row>
    <row r="7" spans="1:16" x14ac:dyDescent="0.25">
      <c r="A7" t="s">
        <v>53</v>
      </c>
      <c r="B7" t="s">
        <v>37</v>
      </c>
      <c r="C7" s="11">
        <v>44938.112372685187</v>
      </c>
      <c r="D7" s="11">
        <v>44938.125532407408</v>
      </c>
      <c r="E7" t="s">
        <v>33</v>
      </c>
      <c r="F7" t="s">
        <v>34</v>
      </c>
      <c r="G7" t="s">
        <v>33</v>
      </c>
      <c r="H7" t="s">
        <v>34</v>
      </c>
      <c r="I7">
        <v>41.886744999999998</v>
      </c>
      <c r="J7">
        <v>-87.613212000000004</v>
      </c>
      <c r="K7">
        <v>41.886642999999999</v>
      </c>
      <c r="L7">
        <v>-87.613166000000007</v>
      </c>
      <c r="M7" t="s">
        <v>31</v>
      </c>
      <c r="N7" s="12">
        <v>1.315972222222222E-2</v>
      </c>
      <c r="O7">
        <v>5</v>
      </c>
      <c r="P7" t="s">
        <v>558</v>
      </c>
    </row>
    <row r="8" spans="1:16" x14ac:dyDescent="0.25">
      <c r="A8" t="s">
        <v>54</v>
      </c>
      <c r="B8" t="s">
        <v>14</v>
      </c>
      <c r="C8" s="11">
        <v>44939.232442129629</v>
      </c>
      <c r="D8" s="11">
        <v>44939.247106481482</v>
      </c>
      <c r="E8" t="s">
        <v>23</v>
      </c>
      <c r="F8">
        <v>13011</v>
      </c>
      <c r="G8" t="s">
        <v>23</v>
      </c>
      <c r="H8">
        <v>13011</v>
      </c>
      <c r="I8">
        <v>41.879624</v>
      </c>
      <c r="J8">
        <v>-87.639627000000004</v>
      </c>
      <c r="K8">
        <v>41.879525999999998</v>
      </c>
      <c r="L8">
        <v>-87.639559000000006</v>
      </c>
      <c r="M8" t="s">
        <v>31</v>
      </c>
      <c r="N8" s="12">
        <v>1.4664351851851852E-2</v>
      </c>
      <c r="O8">
        <v>6</v>
      </c>
      <c r="P8" t="s">
        <v>559</v>
      </c>
    </row>
    <row r="9" spans="1:16" x14ac:dyDescent="0.25">
      <c r="A9" t="s">
        <v>61</v>
      </c>
      <c r="B9" t="s">
        <v>14</v>
      </c>
      <c r="C9" s="11">
        <v>44944.966597222221</v>
      </c>
      <c r="D9" s="11">
        <v>44944.990879629629</v>
      </c>
      <c r="E9" t="s">
        <v>43</v>
      </c>
      <c r="F9" t="s">
        <v>44</v>
      </c>
      <c r="G9" t="s">
        <v>30</v>
      </c>
      <c r="H9">
        <v>13137</v>
      </c>
      <c r="I9">
        <v>41.902918</v>
      </c>
      <c r="J9">
        <v>-87.633872999999994</v>
      </c>
      <c r="K9">
        <v>41.937257000000002</v>
      </c>
      <c r="L9">
        <v>-87.644030000000001</v>
      </c>
      <c r="M9" t="s">
        <v>31</v>
      </c>
      <c r="N9" s="12">
        <v>2.4282407407407409E-2</v>
      </c>
      <c r="O9">
        <v>4</v>
      </c>
      <c r="P9" t="s">
        <v>557</v>
      </c>
    </row>
    <row r="10" spans="1:16" x14ac:dyDescent="0.25">
      <c r="A10" t="s">
        <v>62</v>
      </c>
      <c r="B10" t="s">
        <v>37</v>
      </c>
      <c r="C10" s="11">
        <v>44945.175833333335</v>
      </c>
      <c r="D10" s="11">
        <v>44945.181701388887</v>
      </c>
      <c r="E10" t="s">
        <v>33</v>
      </c>
      <c r="F10" t="s">
        <v>34</v>
      </c>
      <c r="G10" t="s">
        <v>27</v>
      </c>
      <c r="H10" t="s">
        <v>28</v>
      </c>
      <c r="I10">
        <v>41.887146000000001</v>
      </c>
      <c r="J10">
        <v>-87.612671000000006</v>
      </c>
      <c r="K10">
        <v>41.889088000000001</v>
      </c>
      <c r="L10">
        <v>-87.638515999999996</v>
      </c>
      <c r="M10" t="s">
        <v>31</v>
      </c>
      <c r="N10" s="12">
        <v>5.8680555555555543E-3</v>
      </c>
      <c r="O10">
        <v>5</v>
      </c>
      <c r="P10" t="s">
        <v>558</v>
      </c>
    </row>
    <row r="11" spans="1:16" x14ac:dyDescent="0.25">
      <c r="A11" t="s">
        <v>63</v>
      </c>
      <c r="B11" t="s">
        <v>14</v>
      </c>
      <c r="C11" s="11">
        <v>44947.417569444442</v>
      </c>
      <c r="D11" s="11">
        <v>44947.42324074074</v>
      </c>
      <c r="E11" t="s">
        <v>30</v>
      </c>
      <c r="F11">
        <v>13137</v>
      </c>
      <c r="G11" t="s">
        <v>30</v>
      </c>
      <c r="H11">
        <v>13137</v>
      </c>
      <c r="I11">
        <v>41.93779</v>
      </c>
      <c r="J11">
        <v>-87.644576999999998</v>
      </c>
      <c r="K11">
        <v>41.938051999999999</v>
      </c>
      <c r="L11">
        <v>-87.643765999999999</v>
      </c>
      <c r="M11" t="s">
        <v>31</v>
      </c>
      <c r="N11" s="12">
        <v>5.6712962962962958E-3</v>
      </c>
      <c r="O11">
        <v>7</v>
      </c>
      <c r="P11" t="s">
        <v>560</v>
      </c>
    </row>
    <row r="12" spans="1:16" x14ac:dyDescent="0.25">
      <c r="A12" t="s">
        <v>69</v>
      </c>
      <c r="B12" t="s">
        <v>14</v>
      </c>
      <c r="C12" s="11">
        <v>44951.333495370367</v>
      </c>
      <c r="D12" s="11">
        <v>44951.340196759258</v>
      </c>
      <c r="E12" t="s">
        <v>30</v>
      </c>
      <c r="F12">
        <v>13137</v>
      </c>
      <c r="G12" t="s">
        <v>43</v>
      </c>
      <c r="H12" t="s">
        <v>44</v>
      </c>
      <c r="I12">
        <v>41.937848000000002</v>
      </c>
      <c r="J12">
        <v>-87.643752000000006</v>
      </c>
      <c r="K12">
        <v>41.903336000000003</v>
      </c>
      <c r="L12">
        <v>-87.634735000000006</v>
      </c>
      <c r="M12" t="s">
        <v>31</v>
      </c>
      <c r="N12" s="12">
        <v>6.7013888888888887E-3</v>
      </c>
      <c r="O12">
        <v>4</v>
      </c>
      <c r="P12" t="s">
        <v>557</v>
      </c>
    </row>
    <row r="13" spans="1:16" x14ac:dyDescent="0.25">
      <c r="A13" t="s">
        <v>70</v>
      </c>
      <c r="B13" t="s">
        <v>37</v>
      </c>
      <c r="C13" s="11">
        <v>44951.656527777777</v>
      </c>
      <c r="D13" s="11">
        <v>44951.678032407406</v>
      </c>
      <c r="E13" t="s">
        <v>16</v>
      </c>
      <c r="F13">
        <v>13045</v>
      </c>
      <c r="G13" t="s">
        <v>16</v>
      </c>
      <c r="H13">
        <v>13045</v>
      </c>
      <c r="I13">
        <v>41.894162000000001</v>
      </c>
      <c r="J13">
        <v>-87.629773999999998</v>
      </c>
      <c r="K13">
        <v>41.894080000000002</v>
      </c>
      <c r="L13">
        <v>-87.628818999999993</v>
      </c>
      <c r="M13" t="s">
        <v>31</v>
      </c>
      <c r="N13" s="12">
        <v>2.1504629629629627E-2</v>
      </c>
      <c r="O13">
        <v>4</v>
      </c>
      <c r="P13" t="s">
        <v>557</v>
      </c>
    </row>
    <row r="14" spans="1:16" x14ac:dyDescent="0.25">
      <c r="A14" t="s">
        <v>72</v>
      </c>
      <c r="B14" t="s">
        <v>37</v>
      </c>
      <c r="C14" s="11">
        <v>44952.125381944446</v>
      </c>
      <c r="D14" s="11">
        <v>44952.130624999998</v>
      </c>
      <c r="E14" t="s">
        <v>15</v>
      </c>
      <c r="F14">
        <v>13008</v>
      </c>
      <c r="G14" t="s">
        <v>15</v>
      </c>
      <c r="H14">
        <v>13008</v>
      </c>
      <c r="I14">
        <v>41.881495000000001</v>
      </c>
      <c r="J14">
        <v>-87.624033999999995</v>
      </c>
      <c r="K14">
        <v>41.881498000000001</v>
      </c>
      <c r="L14">
        <v>-87.624151999999995</v>
      </c>
      <c r="M14" t="s">
        <v>31</v>
      </c>
      <c r="N14" s="12">
        <v>5.2430555555555555E-3</v>
      </c>
      <c r="O14">
        <v>5</v>
      </c>
      <c r="P14" t="s">
        <v>558</v>
      </c>
    </row>
    <row r="15" spans="1:16" x14ac:dyDescent="0.25">
      <c r="A15" t="s">
        <v>74</v>
      </c>
      <c r="B15" t="s">
        <v>37</v>
      </c>
      <c r="C15" s="11">
        <v>44952.845462962963</v>
      </c>
      <c r="D15" s="11">
        <v>44952.897939814815</v>
      </c>
      <c r="E15" t="s">
        <v>47</v>
      </c>
      <c r="F15" t="s">
        <v>48</v>
      </c>
      <c r="G15" t="s">
        <v>27</v>
      </c>
      <c r="H15" t="s">
        <v>28</v>
      </c>
      <c r="I15">
        <v>41.882536999999999</v>
      </c>
      <c r="J15">
        <v>-87.640872000000002</v>
      </c>
      <c r="K15">
        <v>41.888897999999998</v>
      </c>
      <c r="L15">
        <v>-87.638924000000003</v>
      </c>
      <c r="M15" t="s">
        <v>31</v>
      </c>
      <c r="N15" s="12">
        <v>5.2476851851851851E-2</v>
      </c>
      <c r="O15">
        <v>5</v>
      </c>
      <c r="P15" t="s">
        <v>558</v>
      </c>
    </row>
    <row r="16" spans="1:16" x14ac:dyDescent="0.25">
      <c r="A16" t="s">
        <v>75</v>
      </c>
      <c r="B16" t="s">
        <v>14</v>
      </c>
      <c r="C16" s="11">
        <v>44952.944456018522</v>
      </c>
      <c r="D16" s="11">
        <v>44952.949340277781</v>
      </c>
      <c r="E16" t="s">
        <v>30</v>
      </c>
      <c r="F16">
        <v>13137</v>
      </c>
      <c r="G16" t="s">
        <v>16</v>
      </c>
      <c r="H16">
        <v>13045</v>
      </c>
      <c r="I16">
        <v>41.937579999999997</v>
      </c>
      <c r="J16">
        <v>-87.644492999999997</v>
      </c>
      <c r="K16">
        <v>41.894148999999999</v>
      </c>
      <c r="L16">
        <v>-87.628996000000001</v>
      </c>
      <c r="M16" t="s">
        <v>31</v>
      </c>
      <c r="N16" s="12">
        <v>4.8842592592592592E-3</v>
      </c>
      <c r="O16">
        <v>5</v>
      </c>
      <c r="P16" t="s">
        <v>558</v>
      </c>
    </row>
    <row r="17" spans="1:16" x14ac:dyDescent="0.25">
      <c r="A17" t="s">
        <v>77</v>
      </c>
      <c r="B17" t="s">
        <v>37</v>
      </c>
      <c r="C17" s="11">
        <v>44954.724097222221</v>
      </c>
      <c r="D17" s="11">
        <v>44954.736643518518</v>
      </c>
      <c r="E17" t="s">
        <v>24</v>
      </c>
      <c r="F17">
        <v>13263</v>
      </c>
      <c r="G17" t="s">
        <v>30</v>
      </c>
      <c r="H17">
        <v>13137</v>
      </c>
      <c r="I17">
        <v>41.884492999999999</v>
      </c>
      <c r="J17">
        <v>-87.62</v>
      </c>
      <c r="K17">
        <v>41.937164000000003</v>
      </c>
      <c r="L17">
        <v>-87.643630000000002</v>
      </c>
      <c r="M17" t="s">
        <v>31</v>
      </c>
      <c r="N17" s="12">
        <v>1.2546296296296297E-2</v>
      </c>
      <c r="O17">
        <v>7</v>
      </c>
      <c r="P17" t="s">
        <v>560</v>
      </c>
    </row>
    <row r="18" spans="1:16" x14ac:dyDescent="0.25">
      <c r="A18" t="s">
        <v>79</v>
      </c>
      <c r="B18" t="s">
        <v>14</v>
      </c>
      <c r="C18" s="11">
        <v>44958.604398148149</v>
      </c>
      <c r="D18" s="11">
        <v>44958.611377314817</v>
      </c>
      <c r="E18" t="s">
        <v>24</v>
      </c>
      <c r="F18">
        <v>13263</v>
      </c>
      <c r="G18" t="s">
        <v>27</v>
      </c>
      <c r="H18" t="s">
        <v>28</v>
      </c>
      <c r="I18">
        <v>41.884433000000001</v>
      </c>
      <c r="J18">
        <v>-87.619142999999994</v>
      </c>
      <c r="K18">
        <v>41.889557000000003</v>
      </c>
      <c r="L18">
        <v>-87.638135000000005</v>
      </c>
      <c r="M18" t="s">
        <v>31</v>
      </c>
      <c r="N18" s="12">
        <v>6.9791666666666674E-3</v>
      </c>
      <c r="O18">
        <v>4</v>
      </c>
      <c r="P18" t="s">
        <v>557</v>
      </c>
    </row>
    <row r="19" spans="1:16" x14ac:dyDescent="0.25">
      <c r="A19" t="s">
        <v>83</v>
      </c>
      <c r="B19" t="s">
        <v>37</v>
      </c>
      <c r="C19" s="11">
        <v>44964.687592592592</v>
      </c>
      <c r="D19" s="11">
        <v>44964.725613425922</v>
      </c>
      <c r="E19" t="s">
        <v>30</v>
      </c>
      <c r="F19">
        <v>13137</v>
      </c>
      <c r="G19" t="s">
        <v>66</v>
      </c>
      <c r="H19">
        <v>13042</v>
      </c>
      <c r="I19">
        <v>41.937632000000001</v>
      </c>
      <c r="J19">
        <v>-87.644084000000007</v>
      </c>
      <c r="K19">
        <v>41.901150000000001</v>
      </c>
      <c r="L19">
        <v>-87.623440000000002</v>
      </c>
      <c r="M19" t="s">
        <v>31</v>
      </c>
      <c r="N19" s="12">
        <v>3.802083333333333E-2</v>
      </c>
      <c r="O19">
        <v>3</v>
      </c>
      <c r="P19" t="s">
        <v>556</v>
      </c>
    </row>
    <row r="20" spans="1:16" x14ac:dyDescent="0.25">
      <c r="A20" t="s">
        <v>86</v>
      </c>
      <c r="B20" t="s">
        <v>14</v>
      </c>
      <c r="C20" s="11">
        <v>44965.532418981478</v>
      </c>
      <c r="D20" s="11">
        <v>44965.561539351853</v>
      </c>
      <c r="E20" t="s">
        <v>15</v>
      </c>
      <c r="F20">
        <v>13008</v>
      </c>
      <c r="G20" t="s">
        <v>30</v>
      </c>
      <c r="H20">
        <v>13137</v>
      </c>
      <c r="I20">
        <v>41.880932000000001</v>
      </c>
      <c r="J20">
        <v>-87.623772000000002</v>
      </c>
      <c r="K20">
        <v>41.937095999999997</v>
      </c>
      <c r="L20">
        <v>-87.643949000000006</v>
      </c>
      <c r="M20" t="s">
        <v>31</v>
      </c>
      <c r="N20" s="12">
        <v>2.9120370370370366E-2</v>
      </c>
      <c r="O20">
        <v>4</v>
      </c>
      <c r="P20" t="s">
        <v>557</v>
      </c>
    </row>
    <row r="21" spans="1:16" x14ac:dyDescent="0.25">
      <c r="A21" t="s">
        <v>88</v>
      </c>
      <c r="B21" t="s">
        <v>37</v>
      </c>
      <c r="C21" s="11">
        <v>44968.347696759258</v>
      </c>
      <c r="D21" s="11">
        <v>44968.389131944445</v>
      </c>
      <c r="E21" t="s">
        <v>35</v>
      </c>
      <c r="F21">
        <v>13022</v>
      </c>
      <c r="G21" t="s">
        <v>43</v>
      </c>
      <c r="H21" t="s">
        <v>44</v>
      </c>
      <c r="I21">
        <v>41.892465999999999</v>
      </c>
      <c r="J21">
        <v>-87.612105</v>
      </c>
      <c r="K21">
        <v>41.902977</v>
      </c>
      <c r="L21">
        <v>-87.633983000000001</v>
      </c>
      <c r="M21" t="s">
        <v>31</v>
      </c>
      <c r="N21" s="12">
        <v>4.1435185185185179E-2</v>
      </c>
      <c r="O21">
        <v>7</v>
      </c>
      <c r="P21" t="s">
        <v>560</v>
      </c>
    </row>
    <row r="22" spans="1:16" x14ac:dyDescent="0.25">
      <c r="A22" t="s">
        <v>89</v>
      </c>
      <c r="B22" t="s">
        <v>14</v>
      </c>
      <c r="C22" s="11">
        <v>44969.054699074077</v>
      </c>
      <c r="D22" s="11">
        <v>44969.075428240743</v>
      </c>
      <c r="E22" t="s">
        <v>24</v>
      </c>
      <c r="F22">
        <v>13263</v>
      </c>
      <c r="G22" t="s">
        <v>15</v>
      </c>
      <c r="H22">
        <v>13008</v>
      </c>
      <c r="I22">
        <v>41.885226000000003</v>
      </c>
      <c r="J22">
        <v>-87.619269000000003</v>
      </c>
      <c r="K22">
        <v>41.881239000000001</v>
      </c>
      <c r="L22">
        <v>-87.623805000000004</v>
      </c>
      <c r="M22" t="s">
        <v>31</v>
      </c>
      <c r="N22" s="12">
        <v>2.0729166666666667E-2</v>
      </c>
      <c r="O22">
        <v>1</v>
      </c>
      <c r="P22" t="s">
        <v>554</v>
      </c>
    </row>
    <row r="23" spans="1:16" x14ac:dyDescent="0.25">
      <c r="A23" t="s">
        <v>90</v>
      </c>
      <c r="B23" t="s">
        <v>37</v>
      </c>
      <c r="C23" s="11">
        <v>44969.761111111111</v>
      </c>
      <c r="D23" s="11">
        <v>44969.779062499998</v>
      </c>
      <c r="E23" t="s">
        <v>19</v>
      </c>
      <c r="F23" t="s">
        <v>20</v>
      </c>
      <c r="G23" t="s">
        <v>57</v>
      </c>
      <c r="H23" t="s">
        <v>58</v>
      </c>
      <c r="I23">
        <v>41.926602000000003</v>
      </c>
      <c r="J23">
        <v>-87.630645000000001</v>
      </c>
      <c r="K23">
        <v>41.912185000000001</v>
      </c>
      <c r="L23">
        <v>-87.634913999999995</v>
      </c>
      <c r="M23" t="s">
        <v>31</v>
      </c>
      <c r="N23" s="12">
        <v>1.7951388888888888E-2</v>
      </c>
      <c r="O23">
        <v>1</v>
      </c>
      <c r="P23" t="s">
        <v>554</v>
      </c>
    </row>
    <row r="24" spans="1:16" x14ac:dyDescent="0.25">
      <c r="A24" t="s">
        <v>91</v>
      </c>
      <c r="B24" t="s">
        <v>14</v>
      </c>
      <c r="C24" s="11">
        <v>44972.11136574074</v>
      </c>
      <c r="D24" s="11">
        <v>44972.165671296294</v>
      </c>
      <c r="E24" t="s">
        <v>57</v>
      </c>
      <c r="F24" t="s">
        <v>58</v>
      </c>
      <c r="G24" t="s">
        <v>21</v>
      </c>
      <c r="H24">
        <v>21213</v>
      </c>
      <c r="I24">
        <v>41.911985000000001</v>
      </c>
      <c r="J24">
        <v>-87.635113000000004</v>
      </c>
      <c r="K24">
        <v>41.834412999999998</v>
      </c>
      <c r="L24">
        <v>-87.625921000000005</v>
      </c>
      <c r="M24" t="s">
        <v>31</v>
      </c>
      <c r="N24" s="12">
        <v>5.4305555555555551E-2</v>
      </c>
      <c r="O24">
        <v>4</v>
      </c>
      <c r="P24" t="s">
        <v>557</v>
      </c>
    </row>
    <row r="25" spans="1:16" x14ac:dyDescent="0.25">
      <c r="A25" t="s">
        <v>93</v>
      </c>
      <c r="B25" t="s">
        <v>14</v>
      </c>
      <c r="C25" s="11">
        <v>44972.323067129626</v>
      </c>
      <c r="D25" s="11">
        <v>44972.329722222225</v>
      </c>
      <c r="E25" t="s">
        <v>15</v>
      </c>
      <c r="F25">
        <v>13008</v>
      </c>
      <c r="G25" t="s">
        <v>47</v>
      </c>
      <c r="H25" t="s">
        <v>48</v>
      </c>
      <c r="I25">
        <v>41.880732999999999</v>
      </c>
      <c r="J25">
        <v>-87.624573999999996</v>
      </c>
      <c r="K25">
        <v>41.881816999999998</v>
      </c>
      <c r="L25">
        <v>-87.641189999999995</v>
      </c>
      <c r="M25" t="s">
        <v>31</v>
      </c>
      <c r="N25" s="12">
        <v>6.6550925925925935E-3</v>
      </c>
      <c r="O25">
        <v>4</v>
      </c>
      <c r="P25" t="s">
        <v>557</v>
      </c>
    </row>
    <row r="26" spans="1:16" x14ac:dyDescent="0.25">
      <c r="A26" t="s">
        <v>95</v>
      </c>
      <c r="B26" t="s">
        <v>37</v>
      </c>
      <c r="C26" s="11">
        <v>44974.044120370374</v>
      </c>
      <c r="D26" s="11">
        <v>44974.051805555559</v>
      </c>
      <c r="E26" t="s">
        <v>21</v>
      </c>
      <c r="F26">
        <v>21213</v>
      </c>
      <c r="G26" t="s">
        <v>30</v>
      </c>
      <c r="H26">
        <v>13137</v>
      </c>
      <c r="I26">
        <v>41.834589000000001</v>
      </c>
      <c r="J26">
        <v>-87.625888000000003</v>
      </c>
      <c r="K26">
        <v>41.937297000000001</v>
      </c>
      <c r="L26">
        <v>-87.644001000000003</v>
      </c>
      <c r="M26" t="s">
        <v>31</v>
      </c>
      <c r="N26" s="12">
        <v>7.6851851851851847E-3</v>
      </c>
      <c r="O26">
        <v>6</v>
      </c>
      <c r="P26" t="s">
        <v>559</v>
      </c>
    </row>
    <row r="27" spans="1:16" x14ac:dyDescent="0.25">
      <c r="A27" t="s">
        <v>98</v>
      </c>
      <c r="B27" t="s">
        <v>37</v>
      </c>
      <c r="C27" s="11">
        <v>44975.402789351851</v>
      </c>
      <c r="D27" s="11">
        <v>44975.426921296297</v>
      </c>
      <c r="E27" t="s">
        <v>24</v>
      </c>
      <c r="F27">
        <v>13263</v>
      </c>
      <c r="G27" t="s">
        <v>66</v>
      </c>
      <c r="H27">
        <v>13042</v>
      </c>
      <c r="I27">
        <v>41.884453999999998</v>
      </c>
      <c r="J27">
        <v>-87.619889000000001</v>
      </c>
      <c r="K27">
        <v>41.901347000000001</v>
      </c>
      <c r="L27">
        <v>-87.624002000000004</v>
      </c>
      <c r="M27" t="s">
        <v>31</v>
      </c>
      <c r="N27" s="12">
        <v>2.4131944444444445E-2</v>
      </c>
      <c r="O27">
        <v>7</v>
      </c>
      <c r="P27" t="s">
        <v>560</v>
      </c>
    </row>
    <row r="28" spans="1:16" x14ac:dyDescent="0.25">
      <c r="A28" t="s">
        <v>101</v>
      </c>
      <c r="B28" t="s">
        <v>37</v>
      </c>
      <c r="C28" s="11">
        <v>44976.309062499997</v>
      </c>
      <c r="D28" s="11">
        <v>44976.337997685187</v>
      </c>
      <c r="E28" t="s">
        <v>43</v>
      </c>
      <c r="F28" t="s">
        <v>44</v>
      </c>
      <c r="G28" t="s">
        <v>24</v>
      </c>
      <c r="H28">
        <v>13263</v>
      </c>
      <c r="I28">
        <v>41.903618000000002</v>
      </c>
      <c r="J28">
        <v>-87.634501999999998</v>
      </c>
      <c r="K28">
        <v>41.884352999999997</v>
      </c>
      <c r="L28">
        <v>-87.619546999999997</v>
      </c>
      <c r="M28" t="s">
        <v>31</v>
      </c>
      <c r="N28" s="12">
        <v>2.8935185185185185E-2</v>
      </c>
      <c r="O28">
        <v>1</v>
      </c>
      <c r="P28" t="s">
        <v>554</v>
      </c>
    </row>
    <row r="29" spans="1:16" x14ac:dyDescent="0.25">
      <c r="A29" t="s">
        <v>103</v>
      </c>
      <c r="B29" t="s">
        <v>14</v>
      </c>
      <c r="C29" s="11">
        <v>44978.924270833333</v>
      </c>
      <c r="D29" s="11">
        <v>44978.945011574076</v>
      </c>
      <c r="E29" t="s">
        <v>41</v>
      </c>
      <c r="F29" t="s">
        <v>42</v>
      </c>
      <c r="G29" t="s">
        <v>43</v>
      </c>
      <c r="H29" t="s">
        <v>44</v>
      </c>
      <c r="I29">
        <v>41.903027000000002</v>
      </c>
      <c r="J29">
        <v>-87.631567000000004</v>
      </c>
      <c r="K29">
        <v>41.903668000000003</v>
      </c>
      <c r="L29">
        <v>-87.634043000000005</v>
      </c>
      <c r="M29" t="s">
        <v>31</v>
      </c>
      <c r="N29" s="12">
        <v>2.074074074074074E-2</v>
      </c>
      <c r="O29">
        <v>3</v>
      </c>
      <c r="P29" t="s">
        <v>556</v>
      </c>
    </row>
    <row r="30" spans="1:16" x14ac:dyDescent="0.25">
      <c r="A30" t="s">
        <v>111</v>
      </c>
      <c r="B30" t="s">
        <v>14</v>
      </c>
      <c r="C30" s="11">
        <v>44986.565613425926</v>
      </c>
      <c r="D30" s="11">
        <v>44986.592939814815</v>
      </c>
      <c r="E30" t="s">
        <v>15</v>
      </c>
      <c r="F30">
        <v>13008</v>
      </c>
      <c r="G30" t="s">
        <v>15</v>
      </c>
      <c r="H30">
        <v>13008</v>
      </c>
      <c r="I30">
        <v>41.881303000000003</v>
      </c>
      <c r="J30">
        <v>-87.623637000000002</v>
      </c>
      <c r="K30">
        <v>41.880698000000002</v>
      </c>
      <c r="L30">
        <v>-87.623812999999998</v>
      </c>
      <c r="M30" t="s">
        <v>31</v>
      </c>
      <c r="N30" s="12">
        <v>2.732638888888889E-2</v>
      </c>
      <c r="O30">
        <v>4</v>
      </c>
      <c r="P30" t="s">
        <v>557</v>
      </c>
    </row>
    <row r="31" spans="1:16" x14ac:dyDescent="0.25">
      <c r="A31" t="s">
        <v>112</v>
      </c>
      <c r="B31" t="s">
        <v>14</v>
      </c>
      <c r="C31" s="11">
        <v>44986.882384259261</v>
      </c>
      <c r="D31" s="11">
        <v>44986.949490740742</v>
      </c>
      <c r="E31" t="s">
        <v>41</v>
      </c>
      <c r="F31" t="s">
        <v>42</v>
      </c>
      <c r="G31" t="s">
        <v>24</v>
      </c>
      <c r="H31">
        <v>13263</v>
      </c>
      <c r="I31">
        <v>41.902847000000001</v>
      </c>
      <c r="J31">
        <v>-87.630893999999998</v>
      </c>
      <c r="K31">
        <v>41.884379000000003</v>
      </c>
      <c r="L31">
        <v>-87.619868999999994</v>
      </c>
      <c r="M31" t="s">
        <v>31</v>
      </c>
      <c r="N31" s="12">
        <v>6.7106481481481475E-2</v>
      </c>
      <c r="O31">
        <v>4</v>
      </c>
      <c r="P31" t="s">
        <v>557</v>
      </c>
    </row>
    <row r="32" spans="1:16" x14ac:dyDescent="0.25">
      <c r="A32" t="s">
        <v>114</v>
      </c>
      <c r="B32" t="s">
        <v>14</v>
      </c>
      <c r="C32" s="11">
        <v>44987.159826388888</v>
      </c>
      <c r="D32" s="11">
        <v>44987.191284722219</v>
      </c>
      <c r="E32" t="s">
        <v>15</v>
      </c>
      <c r="F32">
        <v>13008</v>
      </c>
      <c r="G32" t="s">
        <v>15</v>
      </c>
      <c r="H32">
        <v>13008</v>
      </c>
      <c r="I32">
        <v>41.880955999999998</v>
      </c>
      <c r="J32">
        <v>-87.624431000000001</v>
      </c>
      <c r="K32">
        <v>41.880766999999999</v>
      </c>
      <c r="L32">
        <v>-87.623715000000004</v>
      </c>
      <c r="M32" t="s">
        <v>31</v>
      </c>
      <c r="N32" s="12">
        <v>3.1458333333333331E-2</v>
      </c>
      <c r="O32">
        <v>5</v>
      </c>
      <c r="P32" t="s">
        <v>558</v>
      </c>
    </row>
    <row r="33" spans="1:16" x14ac:dyDescent="0.25">
      <c r="A33" t="s">
        <v>117</v>
      </c>
      <c r="B33" t="s">
        <v>37</v>
      </c>
      <c r="C33" s="11">
        <v>44988.683865740742</v>
      </c>
      <c r="D33" s="11">
        <v>44988.704722222225</v>
      </c>
      <c r="E33" t="s">
        <v>24</v>
      </c>
      <c r="F33">
        <v>13263</v>
      </c>
      <c r="G33" t="s">
        <v>24</v>
      </c>
      <c r="H33">
        <v>13263</v>
      </c>
      <c r="I33">
        <v>41.884498000000001</v>
      </c>
      <c r="J33">
        <v>-87.619829999999993</v>
      </c>
      <c r="K33">
        <v>41.884923000000001</v>
      </c>
      <c r="L33">
        <v>-87.619802000000007</v>
      </c>
      <c r="M33" t="s">
        <v>31</v>
      </c>
      <c r="N33" s="12">
        <v>2.0856481481481479E-2</v>
      </c>
      <c r="O33">
        <v>6</v>
      </c>
      <c r="P33" t="s">
        <v>559</v>
      </c>
    </row>
    <row r="34" spans="1:16" x14ac:dyDescent="0.25">
      <c r="A34" t="s">
        <v>119</v>
      </c>
      <c r="B34" t="s">
        <v>14</v>
      </c>
      <c r="C34" s="11">
        <v>44988.816990740743</v>
      </c>
      <c r="D34" s="11">
        <v>44988.83797453704</v>
      </c>
      <c r="E34" t="s">
        <v>43</v>
      </c>
      <c r="F34" t="s">
        <v>44</v>
      </c>
      <c r="G34" t="s">
        <v>30</v>
      </c>
      <c r="H34">
        <v>13137</v>
      </c>
      <c r="I34">
        <v>41.903512999999997</v>
      </c>
      <c r="J34">
        <v>-87.634142999999995</v>
      </c>
      <c r="K34">
        <v>41.937381999999999</v>
      </c>
      <c r="L34">
        <v>-87.644139999999993</v>
      </c>
      <c r="M34" t="s">
        <v>31</v>
      </c>
      <c r="N34" s="12">
        <v>2.0983796296296296E-2</v>
      </c>
      <c r="O34">
        <v>6</v>
      </c>
      <c r="P34" t="s">
        <v>559</v>
      </c>
    </row>
    <row r="35" spans="1:16" x14ac:dyDescent="0.25">
      <c r="A35" t="s">
        <v>120</v>
      </c>
      <c r="B35" t="s">
        <v>14</v>
      </c>
      <c r="C35" s="11">
        <v>44989.14471064815</v>
      </c>
      <c r="D35" s="11">
        <v>44989.18677083333</v>
      </c>
      <c r="E35" t="s">
        <v>19</v>
      </c>
      <c r="F35" t="s">
        <v>20</v>
      </c>
      <c r="G35" t="s">
        <v>47</v>
      </c>
      <c r="H35" t="s">
        <v>48</v>
      </c>
      <c r="I35">
        <v>41.926313999999998</v>
      </c>
      <c r="J35">
        <v>-87.630741</v>
      </c>
      <c r="K35">
        <v>41.882322000000002</v>
      </c>
      <c r="L35">
        <v>-87.641475</v>
      </c>
      <c r="M35" t="s">
        <v>31</v>
      </c>
      <c r="N35" s="12">
        <v>4.206018518518518E-2</v>
      </c>
      <c r="O35">
        <v>7</v>
      </c>
      <c r="P35" t="s">
        <v>560</v>
      </c>
    </row>
    <row r="36" spans="1:16" x14ac:dyDescent="0.25">
      <c r="A36" t="s">
        <v>123</v>
      </c>
      <c r="B36" t="s">
        <v>14</v>
      </c>
      <c r="C36" s="11">
        <v>44991.215173611112</v>
      </c>
      <c r="D36" s="11">
        <v>44991.22792824074</v>
      </c>
      <c r="E36" t="s">
        <v>43</v>
      </c>
      <c r="F36" t="s">
        <v>44</v>
      </c>
      <c r="G36" t="s">
        <v>19</v>
      </c>
      <c r="H36" t="s">
        <v>20</v>
      </c>
      <c r="I36">
        <v>41.902856999999997</v>
      </c>
      <c r="J36">
        <v>-87.634625999999997</v>
      </c>
      <c r="K36">
        <v>41.925958000000001</v>
      </c>
      <c r="L36">
        <v>-87.631072000000003</v>
      </c>
      <c r="M36" t="s">
        <v>31</v>
      </c>
      <c r="N36" s="12">
        <v>1.275462962962963E-2</v>
      </c>
      <c r="O36">
        <v>2</v>
      </c>
      <c r="P36" t="s">
        <v>555</v>
      </c>
    </row>
    <row r="37" spans="1:16" x14ac:dyDescent="0.25">
      <c r="A37" t="s">
        <v>125</v>
      </c>
      <c r="B37" t="s">
        <v>14</v>
      </c>
      <c r="C37" s="11">
        <v>44996.260787037034</v>
      </c>
      <c r="D37" s="11">
        <v>44996.27034722222</v>
      </c>
      <c r="E37" t="s">
        <v>15</v>
      </c>
      <c r="F37">
        <v>13008</v>
      </c>
      <c r="G37" t="s">
        <v>15</v>
      </c>
      <c r="H37">
        <v>13008</v>
      </c>
      <c r="I37">
        <v>41.881374000000001</v>
      </c>
      <c r="J37">
        <v>-87.623738000000003</v>
      </c>
      <c r="K37">
        <v>41.881487</v>
      </c>
      <c r="L37">
        <v>-87.624429000000006</v>
      </c>
      <c r="M37" t="s">
        <v>31</v>
      </c>
      <c r="N37" s="12">
        <v>9.5601851851851855E-3</v>
      </c>
      <c r="O37">
        <v>7</v>
      </c>
      <c r="P37" t="s">
        <v>560</v>
      </c>
    </row>
    <row r="38" spans="1:16" x14ac:dyDescent="0.25">
      <c r="A38" t="s">
        <v>129</v>
      </c>
      <c r="B38" t="s">
        <v>14</v>
      </c>
      <c r="C38" s="11">
        <v>44999.175821759258</v>
      </c>
      <c r="D38" s="11">
        <v>44999.188078703701</v>
      </c>
      <c r="E38" t="s">
        <v>16</v>
      </c>
      <c r="F38">
        <v>13045</v>
      </c>
      <c r="G38" t="s">
        <v>21</v>
      </c>
      <c r="H38">
        <v>21213</v>
      </c>
      <c r="I38">
        <v>41.894060000000003</v>
      </c>
      <c r="J38">
        <v>-87.629165999999998</v>
      </c>
      <c r="K38">
        <v>41.834445000000002</v>
      </c>
      <c r="L38">
        <v>-87.625756999999993</v>
      </c>
      <c r="M38" t="s">
        <v>31</v>
      </c>
      <c r="N38" s="12">
        <v>1.2256944444444444E-2</v>
      </c>
      <c r="O38">
        <v>3</v>
      </c>
      <c r="P38" t="s">
        <v>556</v>
      </c>
    </row>
    <row r="39" spans="1:16" x14ac:dyDescent="0.25">
      <c r="A39" t="s">
        <v>131</v>
      </c>
      <c r="B39" t="s">
        <v>14</v>
      </c>
      <c r="C39" s="11">
        <v>45000.141724537039</v>
      </c>
      <c r="D39" s="11">
        <v>45000.152731481481</v>
      </c>
      <c r="E39" t="s">
        <v>41</v>
      </c>
      <c r="F39" t="s">
        <v>42</v>
      </c>
      <c r="G39" t="s">
        <v>27</v>
      </c>
      <c r="H39" t="s">
        <v>28</v>
      </c>
      <c r="I39">
        <v>41.903238000000002</v>
      </c>
      <c r="J39">
        <v>-87.631108999999995</v>
      </c>
      <c r="K39">
        <v>41.889111999999997</v>
      </c>
      <c r="L39">
        <v>-87.638457000000002</v>
      </c>
      <c r="M39" t="s">
        <v>31</v>
      </c>
      <c r="N39" s="12">
        <v>1.1006944444444444E-2</v>
      </c>
      <c r="O39">
        <v>4</v>
      </c>
      <c r="P39" t="s">
        <v>557</v>
      </c>
    </row>
    <row r="40" spans="1:16" x14ac:dyDescent="0.25">
      <c r="A40" t="s">
        <v>136</v>
      </c>
      <c r="B40" t="s">
        <v>14</v>
      </c>
      <c r="C40" s="11">
        <v>45003.783807870372</v>
      </c>
      <c r="D40" s="11">
        <v>45003.799120370371</v>
      </c>
      <c r="E40" t="s">
        <v>66</v>
      </c>
      <c r="F40">
        <v>13042</v>
      </c>
      <c r="G40" t="s">
        <v>66</v>
      </c>
      <c r="H40">
        <v>13042</v>
      </c>
      <c r="I40">
        <v>41.900812000000002</v>
      </c>
      <c r="J40">
        <v>-87.623514999999998</v>
      </c>
      <c r="K40">
        <v>41.900967000000001</v>
      </c>
      <c r="L40">
        <v>-87.623638999999997</v>
      </c>
      <c r="M40" t="s">
        <v>31</v>
      </c>
      <c r="N40" s="12">
        <v>1.53125E-2</v>
      </c>
      <c r="O40">
        <v>7</v>
      </c>
      <c r="P40" t="s">
        <v>560</v>
      </c>
    </row>
    <row r="41" spans="1:16" x14ac:dyDescent="0.25">
      <c r="A41" t="s">
        <v>139</v>
      </c>
      <c r="B41" t="s">
        <v>14</v>
      </c>
      <c r="C41" s="11">
        <v>45005.633703703701</v>
      </c>
      <c r="D41" s="11">
        <v>45005.665833333333</v>
      </c>
      <c r="E41" t="s">
        <v>57</v>
      </c>
      <c r="F41" t="s">
        <v>58</v>
      </c>
      <c r="G41" t="s">
        <v>35</v>
      </c>
      <c r="H41">
        <v>13022</v>
      </c>
      <c r="I41">
        <v>41.911991999999998</v>
      </c>
      <c r="J41">
        <v>-87.634626999999995</v>
      </c>
      <c r="K41">
        <v>41.892361999999999</v>
      </c>
      <c r="L41">
        <v>-87.611745999999997</v>
      </c>
      <c r="M41" t="s">
        <v>31</v>
      </c>
      <c r="N41" s="12">
        <v>3.2129629629629626E-2</v>
      </c>
      <c r="O41">
        <v>2</v>
      </c>
      <c r="P41" t="s">
        <v>555</v>
      </c>
    </row>
    <row r="42" spans="1:16" x14ac:dyDescent="0.25">
      <c r="A42" t="s">
        <v>140</v>
      </c>
      <c r="B42" t="s">
        <v>37</v>
      </c>
      <c r="C42" s="11">
        <v>45007.5621875</v>
      </c>
      <c r="D42" s="11">
        <v>45007.569710648146</v>
      </c>
      <c r="E42" t="s">
        <v>21</v>
      </c>
      <c r="F42">
        <v>21213</v>
      </c>
      <c r="G42" t="s">
        <v>27</v>
      </c>
      <c r="H42" t="s">
        <v>28</v>
      </c>
      <c r="I42">
        <v>41.834482999999999</v>
      </c>
      <c r="J42">
        <v>-87.625905000000003</v>
      </c>
      <c r="K42">
        <v>41.888956999999998</v>
      </c>
      <c r="L42">
        <v>-87.638869999999997</v>
      </c>
      <c r="M42" t="s">
        <v>31</v>
      </c>
      <c r="N42" s="12">
        <v>7.5231481481481477E-3</v>
      </c>
      <c r="O42">
        <v>4</v>
      </c>
      <c r="P42" t="s">
        <v>557</v>
      </c>
    </row>
    <row r="43" spans="1:16" x14ac:dyDescent="0.25">
      <c r="A43" t="s">
        <v>141</v>
      </c>
      <c r="B43" t="s">
        <v>14</v>
      </c>
      <c r="C43" s="11">
        <v>45008.911944444444</v>
      </c>
      <c r="D43" s="11">
        <v>45008.943356481483</v>
      </c>
      <c r="E43" t="s">
        <v>15</v>
      </c>
      <c r="F43">
        <v>13008</v>
      </c>
      <c r="G43" t="s">
        <v>21</v>
      </c>
      <c r="H43">
        <v>21213</v>
      </c>
      <c r="I43">
        <v>41.880575</v>
      </c>
      <c r="J43">
        <v>-87.624138000000002</v>
      </c>
      <c r="K43">
        <v>41.834304000000003</v>
      </c>
      <c r="L43">
        <v>-87.625584000000003</v>
      </c>
      <c r="M43" t="s">
        <v>31</v>
      </c>
      <c r="N43" s="12">
        <v>3.1412037037037037E-2</v>
      </c>
      <c r="O43">
        <v>5</v>
      </c>
      <c r="P43" t="s">
        <v>558</v>
      </c>
    </row>
    <row r="44" spans="1:16" x14ac:dyDescent="0.25">
      <c r="A44" t="s">
        <v>142</v>
      </c>
      <c r="B44" t="s">
        <v>37</v>
      </c>
      <c r="C44" s="11">
        <v>45009.045266203706</v>
      </c>
      <c r="D44" s="11">
        <v>45009.067708333336</v>
      </c>
      <c r="E44" t="s">
        <v>57</v>
      </c>
      <c r="F44" t="s">
        <v>58</v>
      </c>
      <c r="G44" t="s">
        <v>15</v>
      </c>
      <c r="H44">
        <v>13008</v>
      </c>
      <c r="I44">
        <v>41.912272999999999</v>
      </c>
      <c r="J44">
        <v>-87.634842000000006</v>
      </c>
      <c r="K44">
        <v>41.881489999999999</v>
      </c>
      <c r="L44">
        <v>-87.624550999999997</v>
      </c>
      <c r="M44" t="s">
        <v>31</v>
      </c>
      <c r="N44" s="12">
        <v>2.2442129629629631E-2</v>
      </c>
      <c r="O44">
        <v>6</v>
      </c>
      <c r="P44" t="s">
        <v>559</v>
      </c>
    </row>
    <row r="45" spans="1:16" x14ac:dyDescent="0.25">
      <c r="A45" t="s">
        <v>147</v>
      </c>
      <c r="B45" t="s">
        <v>37</v>
      </c>
      <c r="C45" s="11">
        <v>45013.460266203707</v>
      </c>
      <c r="D45" s="11">
        <v>45013.469571759262</v>
      </c>
      <c r="E45" t="s">
        <v>33</v>
      </c>
      <c r="F45" t="s">
        <v>34</v>
      </c>
      <c r="G45" t="s">
        <v>33</v>
      </c>
      <c r="H45" t="s">
        <v>34</v>
      </c>
      <c r="I45">
        <v>41.886817999999998</v>
      </c>
      <c r="J45">
        <v>-87.612882999999997</v>
      </c>
      <c r="K45">
        <v>41.887307</v>
      </c>
      <c r="L45">
        <v>-87.613192999999995</v>
      </c>
      <c r="M45" t="s">
        <v>31</v>
      </c>
      <c r="N45" s="12">
        <v>9.3055555555555548E-3</v>
      </c>
      <c r="O45">
        <v>3</v>
      </c>
      <c r="P45" t="s">
        <v>556</v>
      </c>
    </row>
    <row r="46" spans="1:16" x14ac:dyDescent="0.25">
      <c r="A46" t="s">
        <v>149</v>
      </c>
      <c r="B46" t="s">
        <v>14</v>
      </c>
      <c r="C46" s="11">
        <v>45015.074444444443</v>
      </c>
      <c r="D46" s="11">
        <v>45015.087361111109</v>
      </c>
      <c r="E46" t="s">
        <v>47</v>
      </c>
      <c r="F46" t="s">
        <v>48</v>
      </c>
      <c r="G46" t="s">
        <v>66</v>
      </c>
      <c r="H46">
        <v>13042</v>
      </c>
      <c r="I46">
        <v>41.882040000000003</v>
      </c>
      <c r="J46">
        <v>-87.641001000000003</v>
      </c>
      <c r="K46">
        <v>41.901148999999997</v>
      </c>
      <c r="L46">
        <v>-87.623403999999994</v>
      </c>
      <c r="M46" t="s">
        <v>31</v>
      </c>
      <c r="N46" s="12">
        <v>1.2916666666666667E-2</v>
      </c>
      <c r="O46">
        <v>5</v>
      </c>
      <c r="P46" t="s">
        <v>558</v>
      </c>
    </row>
    <row r="47" spans="1:16" x14ac:dyDescent="0.25">
      <c r="A47" t="s">
        <v>150</v>
      </c>
      <c r="B47" t="s">
        <v>37</v>
      </c>
      <c r="C47" s="11">
        <v>45018.376631944448</v>
      </c>
      <c r="D47" s="11">
        <v>45018.406458333331</v>
      </c>
      <c r="E47" t="s">
        <v>43</v>
      </c>
      <c r="F47" t="s">
        <v>44</v>
      </c>
      <c r="G47" t="s">
        <v>19</v>
      </c>
      <c r="H47" t="s">
        <v>20</v>
      </c>
      <c r="I47">
        <v>41.903224999999999</v>
      </c>
      <c r="J47">
        <v>-87.634767999999994</v>
      </c>
      <c r="K47">
        <v>41.926268</v>
      </c>
      <c r="L47">
        <v>-87.630407000000005</v>
      </c>
      <c r="M47" t="s">
        <v>31</v>
      </c>
      <c r="N47" s="12">
        <v>2.9826388888888892E-2</v>
      </c>
      <c r="O47">
        <v>1</v>
      </c>
      <c r="P47" t="s">
        <v>554</v>
      </c>
    </row>
    <row r="48" spans="1:16" x14ac:dyDescent="0.25">
      <c r="A48" t="s">
        <v>151</v>
      </c>
      <c r="B48" t="s">
        <v>14</v>
      </c>
      <c r="C48" s="11">
        <v>45019.700289351851</v>
      </c>
      <c r="D48" s="11">
        <v>45019.705381944441</v>
      </c>
      <c r="E48" t="s">
        <v>43</v>
      </c>
      <c r="F48" t="s">
        <v>44</v>
      </c>
      <c r="G48" t="s">
        <v>30</v>
      </c>
      <c r="H48">
        <v>13137</v>
      </c>
      <c r="I48">
        <v>41.903651000000004</v>
      </c>
      <c r="J48">
        <v>-87.634084999999999</v>
      </c>
      <c r="K48">
        <v>41.937387999999999</v>
      </c>
      <c r="L48">
        <v>-87.644333000000003</v>
      </c>
      <c r="M48" t="s">
        <v>31</v>
      </c>
      <c r="N48" s="12">
        <v>5.0925925925925921E-3</v>
      </c>
      <c r="O48">
        <v>2</v>
      </c>
      <c r="P48" t="s">
        <v>555</v>
      </c>
    </row>
    <row r="49" spans="1:16" x14ac:dyDescent="0.25">
      <c r="A49" t="s">
        <v>154</v>
      </c>
      <c r="B49" t="s">
        <v>37</v>
      </c>
      <c r="C49" s="11">
        <v>45021.554155092592</v>
      </c>
      <c r="D49" s="11">
        <v>45021.614027777781</v>
      </c>
      <c r="E49" t="s">
        <v>41</v>
      </c>
      <c r="F49" t="s">
        <v>42</v>
      </c>
      <c r="G49" t="s">
        <v>43</v>
      </c>
      <c r="H49" t="s">
        <v>44</v>
      </c>
      <c r="I49">
        <v>41.902678000000002</v>
      </c>
      <c r="J49">
        <v>-87.631400999999997</v>
      </c>
      <c r="K49">
        <v>41.903647999999997</v>
      </c>
      <c r="L49">
        <v>-87.634101999999999</v>
      </c>
      <c r="M49" t="s">
        <v>31</v>
      </c>
      <c r="N49" s="12">
        <v>5.9872685185185182E-2</v>
      </c>
      <c r="O49">
        <v>4</v>
      </c>
      <c r="P49" t="s">
        <v>557</v>
      </c>
    </row>
    <row r="50" spans="1:16" x14ac:dyDescent="0.25">
      <c r="A50" t="s">
        <v>155</v>
      </c>
      <c r="B50" t="s">
        <v>14</v>
      </c>
      <c r="C50" s="11">
        <v>45023.689155092594</v>
      </c>
      <c r="D50" s="11">
        <v>45023.699074074073</v>
      </c>
      <c r="E50" t="s">
        <v>21</v>
      </c>
      <c r="F50">
        <v>21213</v>
      </c>
      <c r="G50" t="s">
        <v>35</v>
      </c>
      <c r="H50">
        <v>13022</v>
      </c>
      <c r="I50">
        <v>41.834952999999999</v>
      </c>
      <c r="J50">
        <v>-87.626202000000006</v>
      </c>
      <c r="K50">
        <v>41.891813999999997</v>
      </c>
      <c r="L50">
        <v>-87.611548999999997</v>
      </c>
      <c r="M50" t="s">
        <v>31</v>
      </c>
      <c r="N50" s="12">
        <v>9.9189814814814817E-3</v>
      </c>
      <c r="O50">
        <v>6</v>
      </c>
      <c r="P50" t="s">
        <v>559</v>
      </c>
    </row>
    <row r="51" spans="1:16" x14ac:dyDescent="0.25">
      <c r="A51" t="s">
        <v>156</v>
      </c>
      <c r="B51" t="s">
        <v>14</v>
      </c>
      <c r="C51" s="11">
        <v>45023.921782407408</v>
      </c>
      <c r="D51" s="11">
        <v>45023.942094907405</v>
      </c>
      <c r="E51" t="s">
        <v>24</v>
      </c>
      <c r="F51">
        <v>13263</v>
      </c>
      <c r="G51" t="s">
        <v>66</v>
      </c>
      <c r="H51">
        <v>13042</v>
      </c>
      <c r="I51">
        <v>41.884855999999999</v>
      </c>
      <c r="J51">
        <v>-87.619828999999996</v>
      </c>
      <c r="K51">
        <v>41.900606000000003</v>
      </c>
      <c r="L51">
        <v>-87.623339000000001</v>
      </c>
      <c r="M51" t="s">
        <v>31</v>
      </c>
      <c r="N51" s="12">
        <v>2.0312500000000001E-2</v>
      </c>
      <c r="O51">
        <v>6</v>
      </c>
      <c r="P51" t="s">
        <v>559</v>
      </c>
    </row>
    <row r="52" spans="1:16" x14ac:dyDescent="0.25">
      <c r="A52" t="s">
        <v>157</v>
      </c>
      <c r="B52" t="s">
        <v>37</v>
      </c>
      <c r="C52" s="11">
        <v>45024.405949074076</v>
      </c>
      <c r="D52" s="11">
        <v>45024.412430555552</v>
      </c>
      <c r="E52" t="s">
        <v>57</v>
      </c>
      <c r="F52" t="s">
        <v>58</v>
      </c>
      <c r="G52" t="s">
        <v>35</v>
      </c>
      <c r="H52">
        <v>13022</v>
      </c>
      <c r="I52">
        <v>41.912166999999997</v>
      </c>
      <c r="J52">
        <v>-87.634405999999998</v>
      </c>
      <c r="K52">
        <v>41.892690999999999</v>
      </c>
      <c r="L52">
        <v>-87.611958000000001</v>
      </c>
      <c r="M52" t="s">
        <v>31</v>
      </c>
      <c r="N52" s="12">
        <v>6.4814814814814813E-3</v>
      </c>
      <c r="O52">
        <v>7</v>
      </c>
      <c r="P52" t="s">
        <v>560</v>
      </c>
    </row>
    <row r="53" spans="1:16" x14ac:dyDescent="0.25">
      <c r="A53" t="s">
        <v>161</v>
      </c>
      <c r="B53" t="s">
        <v>14</v>
      </c>
      <c r="C53" s="11">
        <v>45026.386979166666</v>
      </c>
      <c r="D53" s="11">
        <v>45026.397199074076</v>
      </c>
      <c r="E53" t="s">
        <v>47</v>
      </c>
      <c r="F53" t="s">
        <v>48</v>
      </c>
      <c r="G53" t="s">
        <v>47</v>
      </c>
      <c r="H53" t="s">
        <v>48</v>
      </c>
      <c r="I53">
        <v>41.882638999999998</v>
      </c>
      <c r="J53">
        <v>-87.641446999999999</v>
      </c>
      <c r="K53">
        <v>41.882069999999999</v>
      </c>
      <c r="L53">
        <v>-87.640749999999997</v>
      </c>
      <c r="M53" t="s">
        <v>31</v>
      </c>
      <c r="N53" s="12">
        <v>1.0219907407407408E-2</v>
      </c>
      <c r="O53">
        <v>2</v>
      </c>
      <c r="P53" t="s">
        <v>555</v>
      </c>
    </row>
    <row r="54" spans="1:16" x14ac:dyDescent="0.25">
      <c r="A54" t="s">
        <v>162</v>
      </c>
      <c r="B54" t="s">
        <v>26</v>
      </c>
      <c r="C54" s="11">
        <v>45027.02039351852</v>
      </c>
      <c r="D54" s="11">
        <v>45027.02611111111</v>
      </c>
      <c r="E54" t="s">
        <v>27</v>
      </c>
      <c r="F54" t="s">
        <v>28</v>
      </c>
      <c r="G54" t="s">
        <v>41</v>
      </c>
      <c r="H54" t="s">
        <v>42</v>
      </c>
      <c r="I54">
        <v>41.889432999999997</v>
      </c>
      <c r="J54">
        <v>-87.638465999999994</v>
      </c>
      <c r="K54">
        <v>41.902549999999998</v>
      </c>
      <c r="L54">
        <v>-87.631761999999995</v>
      </c>
      <c r="M54" t="s">
        <v>31</v>
      </c>
      <c r="N54" s="12">
        <v>5.7175925925925927E-3</v>
      </c>
      <c r="O54">
        <v>3</v>
      </c>
      <c r="P54" t="s">
        <v>556</v>
      </c>
    </row>
    <row r="55" spans="1:16" x14ac:dyDescent="0.25">
      <c r="A55" t="s">
        <v>164</v>
      </c>
      <c r="B55" t="s">
        <v>14</v>
      </c>
      <c r="C55" s="11">
        <v>45027.502557870372</v>
      </c>
      <c r="D55" s="11">
        <v>45027.518391203703</v>
      </c>
      <c r="E55" t="s">
        <v>16</v>
      </c>
      <c r="F55">
        <v>13045</v>
      </c>
      <c r="G55" t="s">
        <v>47</v>
      </c>
      <c r="H55" t="s">
        <v>48</v>
      </c>
      <c r="I55">
        <v>41.893872999999999</v>
      </c>
      <c r="J55">
        <v>-87.62894</v>
      </c>
      <c r="K55">
        <v>41.88261</v>
      </c>
      <c r="L55">
        <v>-87.64076</v>
      </c>
      <c r="M55" t="s">
        <v>31</v>
      </c>
      <c r="N55" s="12">
        <v>1.5833333333333335E-2</v>
      </c>
      <c r="O55">
        <v>3</v>
      </c>
      <c r="P55" t="s">
        <v>556</v>
      </c>
    </row>
    <row r="56" spans="1:16" x14ac:dyDescent="0.25">
      <c r="A56" t="s">
        <v>166</v>
      </c>
      <c r="B56" t="s">
        <v>14</v>
      </c>
      <c r="C56" s="11">
        <v>45027.866550925923</v>
      </c>
      <c r="D56" s="11">
        <v>45027.874837962961</v>
      </c>
      <c r="E56" t="s">
        <v>27</v>
      </c>
      <c r="F56" t="s">
        <v>28</v>
      </c>
      <c r="G56" t="s">
        <v>41</v>
      </c>
      <c r="H56" t="s">
        <v>42</v>
      </c>
      <c r="I56">
        <v>41.889076000000003</v>
      </c>
      <c r="J56">
        <v>-87.638763999999995</v>
      </c>
      <c r="K56">
        <v>41.902676</v>
      </c>
      <c r="L56">
        <v>-87.630825000000002</v>
      </c>
      <c r="M56" t="s">
        <v>31</v>
      </c>
      <c r="N56" s="12">
        <v>8.2870370370370372E-3</v>
      </c>
      <c r="O56">
        <v>3</v>
      </c>
      <c r="P56" t="s">
        <v>556</v>
      </c>
    </row>
    <row r="57" spans="1:16" x14ac:dyDescent="0.25">
      <c r="A57" t="s">
        <v>168</v>
      </c>
      <c r="B57" t="s">
        <v>14</v>
      </c>
      <c r="C57" s="11">
        <v>45028.344571759262</v>
      </c>
      <c r="D57" s="11">
        <v>45028.363587962966</v>
      </c>
      <c r="E57" t="s">
        <v>47</v>
      </c>
      <c r="F57" t="s">
        <v>48</v>
      </c>
      <c r="G57" t="s">
        <v>15</v>
      </c>
      <c r="H57">
        <v>13008</v>
      </c>
      <c r="I57">
        <v>41.881784000000003</v>
      </c>
      <c r="J57">
        <v>-87.641167999999993</v>
      </c>
      <c r="K57">
        <v>41.881293999999997</v>
      </c>
      <c r="L57">
        <v>-87.624128999999996</v>
      </c>
      <c r="M57" t="s">
        <v>31</v>
      </c>
      <c r="N57" s="12">
        <v>1.9016203703703705E-2</v>
      </c>
      <c r="O57">
        <v>4</v>
      </c>
      <c r="P57" t="s">
        <v>557</v>
      </c>
    </row>
    <row r="58" spans="1:16" x14ac:dyDescent="0.25">
      <c r="A58" t="s">
        <v>169</v>
      </c>
      <c r="B58" t="s">
        <v>37</v>
      </c>
      <c r="C58" s="11">
        <v>45029.316087962965</v>
      </c>
      <c r="D58" s="11">
        <v>45029.330937500003</v>
      </c>
      <c r="E58" t="s">
        <v>43</v>
      </c>
      <c r="F58" t="s">
        <v>44</v>
      </c>
      <c r="G58" t="s">
        <v>43</v>
      </c>
      <c r="H58" t="s">
        <v>44</v>
      </c>
      <c r="I58">
        <v>41.903292999999998</v>
      </c>
      <c r="J58">
        <v>-87.634805999999998</v>
      </c>
      <c r="K58">
        <v>41.903204000000002</v>
      </c>
      <c r="L58">
        <v>-87.634613999999999</v>
      </c>
      <c r="M58" t="s">
        <v>31</v>
      </c>
      <c r="N58" s="12">
        <v>1.4849537037037036E-2</v>
      </c>
      <c r="O58">
        <v>5</v>
      </c>
      <c r="P58" t="s">
        <v>558</v>
      </c>
    </row>
    <row r="59" spans="1:16" x14ac:dyDescent="0.25">
      <c r="A59" t="s">
        <v>171</v>
      </c>
      <c r="B59" t="s">
        <v>26</v>
      </c>
      <c r="C59" s="11">
        <v>45030.053240740737</v>
      </c>
      <c r="D59" s="11">
        <v>45030.059305555558</v>
      </c>
      <c r="E59" t="s">
        <v>23</v>
      </c>
      <c r="F59">
        <v>13011</v>
      </c>
      <c r="G59" t="s">
        <v>16</v>
      </c>
      <c r="H59">
        <v>13045</v>
      </c>
      <c r="I59">
        <v>41.878911000000002</v>
      </c>
      <c r="J59">
        <v>-87.639651999999998</v>
      </c>
      <c r="K59">
        <v>41.894060000000003</v>
      </c>
      <c r="L59">
        <v>-87.629542999999998</v>
      </c>
      <c r="M59" t="s">
        <v>31</v>
      </c>
      <c r="N59" s="12">
        <v>6.0648148148148145E-3</v>
      </c>
      <c r="O59">
        <v>6</v>
      </c>
      <c r="P59" t="s">
        <v>559</v>
      </c>
    </row>
    <row r="60" spans="1:16" x14ac:dyDescent="0.25">
      <c r="A60" t="s">
        <v>173</v>
      </c>
      <c r="B60" t="s">
        <v>37</v>
      </c>
      <c r="C60" s="11">
        <v>45030.998113425929</v>
      </c>
      <c r="D60" s="11">
        <v>45031.018090277779</v>
      </c>
      <c r="E60" t="s">
        <v>30</v>
      </c>
      <c r="F60">
        <v>13137</v>
      </c>
      <c r="G60" t="s">
        <v>23</v>
      </c>
      <c r="H60">
        <v>13011</v>
      </c>
      <c r="I60">
        <v>41.937184000000002</v>
      </c>
      <c r="J60">
        <v>-87.643679000000006</v>
      </c>
      <c r="K60">
        <v>41.879545</v>
      </c>
      <c r="L60">
        <v>-87.640381000000005</v>
      </c>
      <c r="M60" t="s">
        <v>31</v>
      </c>
      <c r="N60" s="12">
        <v>1.9976851851851853E-2</v>
      </c>
      <c r="O60">
        <v>6</v>
      </c>
      <c r="P60" t="s">
        <v>559</v>
      </c>
    </row>
    <row r="61" spans="1:16" x14ac:dyDescent="0.25">
      <c r="A61" t="s">
        <v>180</v>
      </c>
      <c r="B61" t="s">
        <v>14</v>
      </c>
      <c r="C61" s="11">
        <v>45038.812916666669</v>
      </c>
      <c r="D61" s="11">
        <v>45038.818726851852</v>
      </c>
      <c r="E61" t="s">
        <v>16</v>
      </c>
      <c r="F61">
        <v>13045</v>
      </c>
      <c r="G61" t="s">
        <v>23</v>
      </c>
      <c r="H61">
        <v>13011</v>
      </c>
      <c r="I61">
        <v>41.894125000000003</v>
      </c>
      <c r="J61">
        <v>-87.629114000000001</v>
      </c>
      <c r="K61">
        <v>41.878759000000002</v>
      </c>
      <c r="L61">
        <v>-87.640236999999999</v>
      </c>
      <c r="M61" t="s">
        <v>31</v>
      </c>
      <c r="N61" s="12">
        <v>5.8101851851851856E-3</v>
      </c>
      <c r="O61">
        <v>7</v>
      </c>
      <c r="P61" t="s">
        <v>560</v>
      </c>
    </row>
    <row r="62" spans="1:16" x14ac:dyDescent="0.25">
      <c r="A62" t="s">
        <v>182</v>
      </c>
      <c r="B62" t="s">
        <v>37</v>
      </c>
      <c r="C62" s="11">
        <v>45039.084791666668</v>
      </c>
      <c r="D62" s="11">
        <v>45039.091041666667</v>
      </c>
      <c r="E62" t="s">
        <v>47</v>
      </c>
      <c r="F62" t="s">
        <v>48</v>
      </c>
      <c r="G62" t="s">
        <v>30</v>
      </c>
      <c r="H62">
        <v>13137</v>
      </c>
      <c r="I62">
        <v>41.882389000000003</v>
      </c>
      <c r="J62">
        <v>-87.640940999999998</v>
      </c>
      <c r="K62">
        <v>41.937719999999999</v>
      </c>
      <c r="L62">
        <v>-87.644290999999996</v>
      </c>
      <c r="M62" t="s">
        <v>31</v>
      </c>
      <c r="N62" s="12">
        <v>6.2499999999999995E-3</v>
      </c>
      <c r="O62">
        <v>1</v>
      </c>
      <c r="P62" t="s">
        <v>554</v>
      </c>
    </row>
    <row r="63" spans="1:16" x14ac:dyDescent="0.25">
      <c r="A63" t="s">
        <v>184</v>
      </c>
      <c r="B63" t="s">
        <v>37</v>
      </c>
      <c r="C63" s="11">
        <v>45039.507407407407</v>
      </c>
      <c r="D63" s="11">
        <v>45039.515150462961</v>
      </c>
      <c r="E63" t="s">
        <v>66</v>
      </c>
      <c r="F63">
        <v>13042</v>
      </c>
      <c r="G63" t="s">
        <v>41</v>
      </c>
      <c r="H63" t="s">
        <v>42</v>
      </c>
      <c r="I63">
        <v>41.900767000000002</v>
      </c>
      <c r="J63">
        <v>-87.623731000000006</v>
      </c>
      <c r="K63">
        <v>41.902889999999999</v>
      </c>
      <c r="L63">
        <v>-87.631619999999998</v>
      </c>
      <c r="M63" t="s">
        <v>31</v>
      </c>
      <c r="N63" s="12">
        <v>7.743055555555556E-3</v>
      </c>
      <c r="O63">
        <v>1</v>
      </c>
      <c r="P63" t="s">
        <v>554</v>
      </c>
    </row>
    <row r="64" spans="1:16" x14ac:dyDescent="0.25">
      <c r="A64" t="s">
        <v>185</v>
      </c>
      <c r="B64" t="s">
        <v>37</v>
      </c>
      <c r="C64" s="11">
        <v>45040.376168981478</v>
      </c>
      <c r="D64" s="11">
        <v>45040.382233796299</v>
      </c>
      <c r="E64" t="s">
        <v>16</v>
      </c>
      <c r="F64">
        <v>13045</v>
      </c>
      <c r="G64" t="s">
        <v>27</v>
      </c>
      <c r="H64" t="s">
        <v>28</v>
      </c>
      <c r="I64">
        <v>41.893669000000003</v>
      </c>
      <c r="J64">
        <v>-87.629811000000004</v>
      </c>
      <c r="K64">
        <v>41.889482000000001</v>
      </c>
      <c r="L64">
        <v>-87.638929000000005</v>
      </c>
      <c r="M64" t="s">
        <v>31</v>
      </c>
      <c r="N64" s="12">
        <v>6.0648148148148145E-3</v>
      </c>
      <c r="O64">
        <v>2</v>
      </c>
      <c r="P64" t="s">
        <v>555</v>
      </c>
    </row>
    <row r="65" spans="1:16" x14ac:dyDescent="0.25">
      <c r="A65" t="s">
        <v>187</v>
      </c>
      <c r="B65" t="s">
        <v>14</v>
      </c>
      <c r="C65" s="11">
        <v>45041.121481481481</v>
      </c>
      <c r="D65" s="11">
        <v>45041.143217592595</v>
      </c>
      <c r="E65" t="s">
        <v>66</v>
      </c>
      <c r="F65">
        <v>13042</v>
      </c>
      <c r="G65" t="s">
        <v>16</v>
      </c>
      <c r="H65">
        <v>13045</v>
      </c>
      <c r="I65">
        <v>41.901333999999999</v>
      </c>
      <c r="J65">
        <v>-87.623446000000001</v>
      </c>
      <c r="K65">
        <v>41.893717000000002</v>
      </c>
      <c r="L65">
        <v>-87.629418999999999</v>
      </c>
      <c r="M65" t="s">
        <v>31</v>
      </c>
      <c r="N65" s="12">
        <v>2.1736111111111112E-2</v>
      </c>
      <c r="O65">
        <v>3</v>
      </c>
      <c r="P65" t="s">
        <v>556</v>
      </c>
    </row>
    <row r="66" spans="1:16" x14ac:dyDescent="0.25">
      <c r="A66" t="s">
        <v>190</v>
      </c>
      <c r="B66" t="s">
        <v>37</v>
      </c>
      <c r="C66" s="11">
        <v>45042.513310185182</v>
      </c>
      <c r="D66" s="11">
        <v>45042.561990740738</v>
      </c>
      <c r="E66" t="s">
        <v>24</v>
      </c>
      <c r="F66">
        <v>13263</v>
      </c>
      <c r="G66" t="s">
        <v>23</v>
      </c>
      <c r="H66">
        <v>13011</v>
      </c>
      <c r="I66">
        <v>41.885162999999999</v>
      </c>
      <c r="J66">
        <v>-87.619770000000003</v>
      </c>
      <c r="K66">
        <v>41.878875000000001</v>
      </c>
      <c r="L66">
        <v>-87.639819000000003</v>
      </c>
      <c r="M66" t="s">
        <v>31</v>
      </c>
      <c r="N66" s="12">
        <v>4.868055555555556E-2</v>
      </c>
      <c r="O66">
        <v>4</v>
      </c>
      <c r="P66" t="s">
        <v>557</v>
      </c>
    </row>
    <row r="67" spans="1:16" x14ac:dyDescent="0.25">
      <c r="A67" t="s">
        <v>196</v>
      </c>
      <c r="B67" t="s">
        <v>14</v>
      </c>
      <c r="C67" s="11">
        <v>45047.481782407405</v>
      </c>
      <c r="D67" s="11">
        <v>45047.498240740744</v>
      </c>
      <c r="E67" t="s">
        <v>27</v>
      </c>
      <c r="F67" t="s">
        <v>28</v>
      </c>
      <c r="G67" t="s">
        <v>35</v>
      </c>
      <c r="H67">
        <v>13022</v>
      </c>
      <c r="I67">
        <v>41.888953999999998</v>
      </c>
      <c r="J67">
        <v>-87.638199999999998</v>
      </c>
      <c r="K67">
        <v>41.892525999999997</v>
      </c>
      <c r="L67">
        <v>-87.612358</v>
      </c>
      <c r="M67" t="s">
        <v>31</v>
      </c>
      <c r="N67" s="12">
        <v>1.6458333333333332E-2</v>
      </c>
      <c r="O67">
        <v>2</v>
      </c>
      <c r="P67" t="s">
        <v>555</v>
      </c>
    </row>
    <row r="68" spans="1:16" x14ac:dyDescent="0.25">
      <c r="A68" t="s">
        <v>200</v>
      </c>
      <c r="B68" t="s">
        <v>14</v>
      </c>
      <c r="C68" s="11">
        <v>45049.178518518522</v>
      </c>
      <c r="D68" s="11">
        <v>45049.194918981484</v>
      </c>
      <c r="E68" t="s">
        <v>66</v>
      </c>
      <c r="F68">
        <v>13042</v>
      </c>
      <c r="G68" t="s">
        <v>47</v>
      </c>
      <c r="H68" t="s">
        <v>48</v>
      </c>
      <c r="I68">
        <v>41.900830999999997</v>
      </c>
      <c r="J68">
        <v>-87.623463999999998</v>
      </c>
      <c r="K68">
        <v>41.882688999999999</v>
      </c>
      <c r="L68">
        <v>-87.64058</v>
      </c>
      <c r="M68" t="s">
        <v>31</v>
      </c>
      <c r="N68" s="12">
        <v>1.6400462962962964E-2</v>
      </c>
      <c r="O68">
        <v>4</v>
      </c>
      <c r="P68" t="s">
        <v>557</v>
      </c>
    </row>
    <row r="69" spans="1:16" x14ac:dyDescent="0.25">
      <c r="A69" t="s">
        <v>203</v>
      </c>
      <c r="B69" t="s">
        <v>14</v>
      </c>
      <c r="C69" s="11">
        <v>45050.626134259262</v>
      </c>
      <c r="D69" s="11">
        <v>45050.651550925926</v>
      </c>
      <c r="E69" t="s">
        <v>15</v>
      </c>
      <c r="F69">
        <v>13008</v>
      </c>
      <c r="G69" t="s">
        <v>47</v>
      </c>
      <c r="H69" t="s">
        <v>48</v>
      </c>
      <c r="I69">
        <v>41.880885999999997</v>
      </c>
      <c r="J69">
        <v>-87.624058000000005</v>
      </c>
      <c r="K69">
        <v>41.882224000000001</v>
      </c>
      <c r="L69">
        <v>-87.641389000000004</v>
      </c>
      <c r="M69" t="s">
        <v>31</v>
      </c>
      <c r="N69" s="12">
        <v>2.5416666666666667E-2</v>
      </c>
      <c r="O69">
        <v>5</v>
      </c>
      <c r="P69" t="s">
        <v>558</v>
      </c>
    </row>
    <row r="70" spans="1:16" x14ac:dyDescent="0.25">
      <c r="A70" t="s">
        <v>204</v>
      </c>
      <c r="B70" t="s">
        <v>14</v>
      </c>
      <c r="C70" s="11">
        <v>45050.900127314817</v>
      </c>
      <c r="D70" s="11">
        <v>45050.918124999997</v>
      </c>
      <c r="E70" t="s">
        <v>15</v>
      </c>
      <c r="F70">
        <v>13008</v>
      </c>
      <c r="G70" t="s">
        <v>27</v>
      </c>
      <c r="H70" t="s">
        <v>28</v>
      </c>
      <c r="I70">
        <v>41.880752999999999</v>
      </c>
      <c r="J70">
        <v>-87.624426</v>
      </c>
      <c r="K70">
        <v>41.888739000000001</v>
      </c>
      <c r="L70">
        <v>-87.638182999999998</v>
      </c>
      <c r="M70" t="s">
        <v>31</v>
      </c>
      <c r="N70" s="12">
        <v>1.7997685185185186E-2</v>
      </c>
      <c r="O70">
        <v>5</v>
      </c>
      <c r="P70" t="s">
        <v>558</v>
      </c>
    </row>
    <row r="71" spans="1:16" x14ac:dyDescent="0.25">
      <c r="A71" t="s">
        <v>205</v>
      </c>
      <c r="B71" t="s">
        <v>37</v>
      </c>
      <c r="C71" s="11">
        <v>45051.626064814816</v>
      </c>
      <c r="D71" s="11">
        <v>45051.653310185182</v>
      </c>
      <c r="E71" t="s">
        <v>35</v>
      </c>
      <c r="F71">
        <v>13022</v>
      </c>
      <c r="G71" t="s">
        <v>35</v>
      </c>
      <c r="H71">
        <v>13022</v>
      </c>
      <c r="I71">
        <v>41.892169000000003</v>
      </c>
      <c r="J71">
        <v>-87.612010999999995</v>
      </c>
      <c r="K71">
        <v>41.891845000000004</v>
      </c>
      <c r="L71">
        <v>-87.612313999999998</v>
      </c>
      <c r="M71" t="s">
        <v>31</v>
      </c>
      <c r="N71" s="12">
        <v>2.7245370370370368E-2</v>
      </c>
      <c r="O71">
        <v>6</v>
      </c>
      <c r="P71" t="s">
        <v>559</v>
      </c>
    </row>
    <row r="72" spans="1:16" x14ac:dyDescent="0.25">
      <c r="A72" t="s">
        <v>207</v>
      </c>
      <c r="B72" t="s">
        <v>14</v>
      </c>
      <c r="C72" s="11">
        <v>45053.282627314817</v>
      </c>
      <c r="D72" s="11">
        <v>45053.38071759259</v>
      </c>
      <c r="E72" t="s">
        <v>23</v>
      </c>
      <c r="F72">
        <v>13011</v>
      </c>
      <c r="G72" t="s">
        <v>23</v>
      </c>
      <c r="H72">
        <v>13011</v>
      </c>
      <c r="I72">
        <v>41.879748999999997</v>
      </c>
      <c r="J72">
        <v>-87.640393000000003</v>
      </c>
      <c r="K72">
        <v>41.879485000000003</v>
      </c>
      <c r="L72">
        <v>-87.639831999999998</v>
      </c>
      <c r="M72" t="s">
        <v>31</v>
      </c>
      <c r="N72" s="12">
        <v>9.8090277777777776E-2</v>
      </c>
      <c r="O72">
        <v>1</v>
      </c>
      <c r="P72" t="s">
        <v>554</v>
      </c>
    </row>
    <row r="73" spans="1:16" x14ac:dyDescent="0.25">
      <c r="A73" t="s">
        <v>209</v>
      </c>
      <c r="B73" t="s">
        <v>37</v>
      </c>
      <c r="C73" s="11">
        <v>45054.096296296295</v>
      </c>
      <c r="D73" s="11">
        <v>45054.123541666668</v>
      </c>
      <c r="E73" t="s">
        <v>43</v>
      </c>
      <c r="F73" t="s">
        <v>44</v>
      </c>
      <c r="G73" t="s">
        <v>43</v>
      </c>
      <c r="H73" t="s">
        <v>44</v>
      </c>
      <c r="I73">
        <v>41.903233</v>
      </c>
      <c r="J73">
        <v>-87.634777</v>
      </c>
      <c r="K73">
        <v>41.902997999999997</v>
      </c>
      <c r="L73">
        <v>-87.634117000000003</v>
      </c>
      <c r="M73" t="s">
        <v>31</v>
      </c>
      <c r="N73" s="12">
        <v>2.7245370370370368E-2</v>
      </c>
      <c r="O73">
        <v>2</v>
      </c>
      <c r="P73" t="s">
        <v>555</v>
      </c>
    </row>
    <row r="74" spans="1:16" x14ac:dyDescent="0.25">
      <c r="A74" t="s">
        <v>211</v>
      </c>
      <c r="B74" t="s">
        <v>14</v>
      </c>
      <c r="C74" s="11">
        <v>45054.589097222219</v>
      </c>
      <c r="D74" s="11">
        <v>45054.618657407409</v>
      </c>
      <c r="E74" t="s">
        <v>30</v>
      </c>
      <c r="F74">
        <v>13137</v>
      </c>
      <c r="G74" t="s">
        <v>35</v>
      </c>
      <c r="H74">
        <v>13022</v>
      </c>
      <c r="I74">
        <v>41.938051999999999</v>
      </c>
      <c r="J74">
        <v>-87.644159999999999</v>
      </c>
      <c r="K74">
        <v>41.892012999999999</v>
      </c>
      <c r="L74">
        <v>-87.611838000000006</v>
      </c>
      <c r="M74" t="s">
        <v>31</v>
      </c>
      <c r="N74" s="12">
        <v>2.9560185185185189E-2</v>
      </c>
      <c r="O74">
        <v>2</v>
      </c>
      <c r="P74" t="s">
        <v>555</v>
      </c>
    </row>
    <row r="75" spans="1:16" x14ac:dyDescent="0.25">
      <c r="A75" t="s">
        <v>216</v>
      </c>
      <c r="B75" t="s">
        <v>14</v>
      </c>
      <c r="C75" s="11">
        <v>45059.094027777777</v>
      </c>
      <c r="D75" s="11">
        <v>45059.121087962965</v>
      </c>
      <c r="E75" t="s">
        <v>19</v>
      </c>
      <c r="F75" t="s">
        <v>20</v>
      </c>
      <c r="G75" t="s">
        <v>19</v>
      </c>
      <c r="H75" t="s">
        <v>20</v>
      </c>
      <c r="I75">
        <v>41.926631999999998</v>
      </c>
      <c r="J75">
        <v>-87.631169</v>
      </c>
      <c r="K75">
        <v>41.926631</v>
      </c>
      <c r="L75">
        <v>-87.630842999999999</v>
      </c>
      <c r="M75" t="s">
        <v>31</v>
      </c>
      <c r="N75" s="12">
        <v>2.7060185185185187E-2</v>
      </c>
      <c r="O75">
        <v>7</v>
      </c>
      <c r="P75" t="s">
        <v>560</v>
      </c>
    </row>
    <row r="76" spans="1:16" x14ac:dyDescent="0.25">
      <c r="A76" t="s">
        <v>217</v>
      </c>
      <c r="B76" t="s">
        <v>14</v>
      </c>
      <c r="C76" s="11">
        <v>45059.559317129628</v>
      </c>
      <c r="D76" s="11">
        <v>45059.56994212963</v>
      </c>
      <c r="E76" t="s">
        <v>15</v>
      </c>
      <c r="F76">
        <v>13008</v>
      </c>
      <c r="G76" t="s">
        <v>35</v>
      </c>
      <c r="H76">
        <v>13022</v>
      </c>
      <c r="I76">
        <v>41.881062</v>
      </c>
      <c r="J76">
        <v>-87.623876999999993</v>
      </c>
      <c r="K76">
        <v>41.892546000000003</v>
      </c>
      <c r="L76">
        <v>-87.612455999999995</v>
      </c>
      <c r="M76" t="s">
        <v>31</v>
      </c>
      <c r="N76" s="12">
        <v>1.0625000000000001E-2</v>
      </c>
      <c r="O76">
        <v>7</v>
      </c>
      <c r="P76" t="s">
        <v>560</v>
      </c>
    </row>
    <row r="77" spans="1:16" x14ac:dyDescent="0.25">
      <c r="A77" t="s">
        <v>218</v>
      </c>
      <c r="B77" t="s">
        <v>37</v>
      </c>
      <c r="C77" s="11">
        <v>45059.886145833334</v>
      </c>
      <c r="D77" s="11">
        <v>45059.900219907409</v>
      </c>
      <c r="E77" t="s">
        <v>16</v>
      </c>
      <c r="F77">
        <v>13045</v>
      </c>
      <c r="G77" t="s">
        <v>15</v>
      </c>
      <c r="H77">
        <v>13008</v>
      </c>
      <c r="I77">
        <v>41.893951000000001</v>
      </c>
      <c r="J77">
        <v>-87.628838000000002</v>
      </c>
      <c r="K77">
        <v>41.881025000000001</v>
      </c>
      <c r="L77">
        <v>-87.624255000000005</v>
      </c>
      <c r="M77" t="s">
        <v>31</v>
      </c>
      <c r="N77" s="12">
        <v>1.4074074074074074E-2</v>
      </c>
      <c r="O77">
        <v>7</v>
      </c>
      <c r="P77" t="s">
        <v>560</v>
      </c>
    </row>
    <row r="78" spans="1:16" x14ac:dyDescent="0.25">
      <c r="A78" t="s">
        <v>221</v>
      </c>
      <c r="B78" t="s">
        <v>37</v>
      </c>
      <c r="C78" s="11">
        <v>45061.348240740743</v>
      </c>
      <c r="D78" s="11">
        <v>45061.417361111111</v>
      </c>
      <c r="E78" t="s">
        <v>16</v>
      </c>
      <c r="F78">
        <v>13045</v>
      </c>
      <c r="G78" t="s">
        <v>21</v>
      </c>
      <c r="H78">
        <v>21213</v>
      </c>
      <c r="I78">
        <v>41.893667000000001</v>
      </c>
      <c r="J78">
        <v>-87.629807999999997</v>
      </c>
      <c r="K78">
        <v>41.834383000000003</v>
      </c>
      <c r="L78">
        <v>-87.625536999999994</v>
      </c>
      <c r="M78" t="s">
        <v>31</v>
      </c>
      <c r="N78" s="12">
        <v>6.9120370370370374E-2</v>
      </c>
      <c r="O78">
        <v>2</v>
      </c>
      <c r="P78" t="s">
        <v>555</v>
      </c>
    </row>
    <row r="79" spans="1:16" x14ac:dyDescent="0.25">
      <c r="A79" t="s">
        <v>222</v>
      </c>
      <c r="B79" t="s">
        <v>37</v>
      </c>
      <c r="C79" s="11">
        <v>45062.202615740738</v>
      </c>
      <c r="D79" s="11">
        <v>45062.225891203707</v>
      </c>
      <c r="E79" t="s">
        <v>21</v>
      </c>
      <c r="F79">
        <v>21213</v>
      </c>
      <c r="G79" t="s">
        <v>57</v>
      </c>
      <c r="H79" t="s">
        <v>58</v>
      </c>
      <c r="I79">
        <v>41.835014000000001</v>
      </c>
      <c r="J79">
        <v>-87.625855000000001</v>
      </c>
      <c r="K79">
        <v>41.912030999999999</v>
      </c>
      <c r="L79">
        <v>-87.634853000000007</v>
      </c>
      <c r="M79" t="s">
        <v>31</v>
      </c>
      <c r="N79" s="12">
        <v>2.327546296296296E-2</v>
      </c>
      <c r="O79">
        <v>3</v>
      </c>
      <c r="P79" t="s">
        <v>556</v>
      </c>
    </row>
    <row r="80" spans="1:16" x14ac:dyDescent="0.25">
      <c r="A80" t="s">
        <v>224</v>
      </c>
      <c r="B80" t="s">
        <v>14</v>
      </c>
      <c r="C80" s="11">
        <v>45063.63653935185</v>
      </c>
      <c r="D80" s="11">
        <v>45063.649791666663</v>
      </c>
      <c r="E80" t="s">
        <v>57</v>
      </c>
      <c r="F80" t="s">
        <v>58</v>
      </c>
      <c r="G80" t="s">
        <v>35</v>
      </c>
      <c r="H80">
        <v>13022</v>
      </c>
      <c r="I80">
        <v>41.912578000000003</v>
      </c>
      <c r="J80">
        <v>-87.634238999999994</v>
      </c>
      <c r="K80">
        <v>41.892361000000001</v>
      </c>
      <c r="L80">
        <v>-87.612080000000006</v>
      </c>
      <c r="M80" t="s">
        <v>31</v>
      </c>
      <c r="N80" s="12">
        <v>1.3252314814814814E-2</v>
      </c>
      <c r="O80">
        <v>4</v>
      </c>
      <c r="P80" t="s">
        <v>557</v>
      </c>
    </row>
    <row r="81" spans="1:16" x14ac:dyDescent="0.25">
      <c r="A81" t="s">
        <v>225</v>
      </c>
      <c r="B81" t="s">
        <v>14</v>
      </c>
      <c r="C81" s="11">
        <v>45064.157847222225</v>
      </c>
      <c r="D81" s="11">
        <v>45064.214502314811</v>
      </c>
      <c r="E81" t="s">
        <v>43</v>
      </c>
      <c r="F81" t="s">
        <v>44</v>
      </c>
      <c r="G81" t="s">
        <v>16</v>
      </c>
      <c r="H81">
        <v>13045</v>
      </c>
      <c r="I81">
        <v>41.903461</v>
      </c>
      <c r="J81">
        <v>-87.634608999999998</v>
      </c>
      <c r="K81">
        <v>41.894157</v>
      </c>
      <c r="L81">
        <v>-87.629320000000007</v>
      </c>
      <c r="M81" t="s">
        <v>31</v>
      </c>
      <c r="N81" s="12">
        <v>5.6655092592592597E-2</v>
      </c>
      <c r="O81">
        <v>5</v>
      </c>
      <c r="P81" t="s">
        <v>558</v>
      </c>
    </row>
    <row r="82" spans="1:16" x14ac:dyDescent="0.25">
      <c r="A82" t="s">
        <v>233</v>
      </c>
      <c r="B82" t="s">
        <v>14</v>
      </c>
      <c r="C82" s="11">
        <v>45069.246377314812</v>
      </c>
      <c r="D82" s="11">
        <v>45069.256041666667</v>
      </c>
      <c r="E82" t="s">
        <v>35</v>
      </c>
      <c r="F82">
        <v>13022</v>
      </c>
      <c r="G82" t="s">
        <v>19</v>
      </c>
      <c r="H82" t="s">
        <v>20</v>
      </c>
      <c r="I82">
        <v>41.892631999999999</v>
      </c>
      <c r="J82">
        <v>-87.612493999999998</v>
      </c>
      <c r="K82">
        <v>41.926609999999997</v>
      </c>
      <c r="L82">
        <v>-87.630489999999995</v>
      </c>
      <c r="M82" t="s">
        <v>31</v>
      </c>
      <c r="N82" s="12">
        <v>9.6643518518518511E-3</v>
      </c>
      <c r="O82">
        <v>3</v>
      </c>
      <c r="P82" t="s">
        <v>556</v>
      </c>
    </row>
    <row r="83" spans="1:16" x14ac:dyDescent="0.25">
      <c r="A83" t="s">
        <v>238</v>
      </c>
      <c r="B83" t="s">
        <v>26</v>
      </c>
      <c r="C83" s="11">
        <v>45072.183703703704</v>
      </c>
      <c r="D83" s="11">
        <v>45072.196342592593</v>
      </c>
      <c r="E83" t="s">
        <v>23</v>
      </c>
      <c r="F83">
        <v>13011</v>
      </c>
      <c r="G83" t="s">
        <v>47</v>
      </c>
      <c r="H83" t="s">
        <v>48</v>
      </c>
      <c r="I83">
        <v>41.879666</v>
      </c>
      <c r="J83">
        <v>-87.639581000000007</v>
      </c>
      <c r="K83">
        <v>41.882691999999999</v>
      </c>
      <c r="L83">
        <v>-87.640839999999997</v>
      </c>
      <c r="M83" t="s">
        <v>31</v>
      </c>
      <c r="N83" s="12">
        <v>1.2638888888888889E-2</v>
      </c>
      <c r="O83">
        <v>6</v>
      </c>
      <c r="P83" t="s">
        <v>559</v>
      </c>
    </row>
    <row r="84" spans="1:16" x14ac:dyDescent="0.25">
      <c r="A84" t="s">
        <v>239</v>
      </c>
      <c r="B84" t="s">
        <v>14</v>
      </c>
      <c r="C84" s="11">
        <v>45072.945185185185</v>
      </c>
      <c r="D84" s="11">
        <v>45072.974791666667</v>
      </c>
      <c r="E84" t="s">
        <v>23</v>
      </c>
      <c r="F84">
        <v>13011</v>
      </c>
      <c r="G84" t="s">
        <v>24</v>
      </c>
      <c r="H84">
        <v>13263</v>
      </c>
      <c r="I84">
        <v>41.878900999999999</v>
      </c>
      <c r="J84">
        <v>-87.639571000000004</v>
      </c>
      <c r="K84">
        <v>41.884768000000001</v>
      </c>
      <c r="L84">
        <v>-87.619175999999996</v>
      </c>
      <c r="M84" t="s">
        <v>31</v>
      </c>
      <c r="N84" s="12">
        <v>2.960648148148148E-2</v>
      </c>
      <c r="O84">
        <v>6</v>
      </c>
      <c r="P84" t="s">
        <v>559</v>
      </c>
    </row>
    <row r="85" spans="1:16" x14ac:dyDescent="0.25">
      <c r="A85" t="s">
        <v>242</v>
      </c>
      <c r="B85" t="s">
        <v>14</v>
      </c>
      <c r="C85" s="11">
        <v>45073.795682870368</v>
      </c>
      <c r="D85" s="11">
        <v>45073.801828703705</v>
      </c>
      <c r="E85" t="s">
        <v>19</v>
      </c>
      <c r="F85" t="s">
        <v>20</v>
      </c>
      <c r="G85" t="s">
        <v>16</v>
      </c>
      <c r="H85">
        <v>13045</v>
      </c>
      <c r="I85">
        <v>41.926268</v>
      </c>
      <c r="J85">
        <v>-87.630812000000006</v>
      </c>
      <c r="K85">
        <v>41.894055000000002</v>
      </c>
      <c r="L85">
        <v>-87.629377000000005</v>
      </c>
      <c r="M85" t="s">
        <v>31</v>
      </c>
      <c r="N85" s="12">
        <v>6.145833333333333E-3</v>
      </c>
      <c r="O85">
        <v>7</v>
      </c>
      <c r="P85" t="s">
        <v>560</v>
      </c>
    </row>
    <row r="86" spans="1:16" x14ac:dyDescent="0.25">
      <c r="A86" t="s">
        <v>244</v>
      </c>
      <c r="B86" t="s">
        <v>14</v>
      </c>
      <c r="C86" s="11">
        <v>45076.525057870371</v>
      </c>
      <c r="D86" s="11">
        <v>45076.536712962959</v>
      </c>
      <c r="E86" t="s">
        <v>15</v>
      </c>
      <c r="F86">
        <v>13008</v>
      </c>
      <c r="G86" t="s">
        <v>24</v>
      </c>
      <c r="H86">
        <v>13263</v>
      </c>
      <c r="I86">
        <v>41.880817</v>
      </c>
      <c r="J86">
        <v>-87.624410999999995</v>
      </c>
      <c r="K86">
        <v>41.885125000000002</v>
      </c>
      <c r="L86">
        <v>-87.619940999999997</v>
      </c>
      <c r="M86" t="s">
        <v>31</v>
      </c>
      <c r="N86" s="12">
        <v>1.1655092592592594E-2</v>
      </c>
      <c r="O86">
        <v>3</v>
      </c>
      <c r="P86" t="s">
        <v>556</v>
      </c>
    </row>
    <row r="87" spans="1:16" x14ac:dyDescent="0.25">
      <c r="A87" t="s">
        <v>248</v>
      </c>
      <c r="B87" t="s">
        <v>37</v>
      </c>
      <c r="C87" s="11">
        <v>45078.370775462965</v>
      </c>
      <c r="D87" s="11">
        <v>45078.411643518521</v>
      </c>
      <c r="E87" t="s">
        <v>21</v>
      </c>
      <c r="F87">
        <v>21213</v>
      </c>
      <c r="G87" t="s">
        <v>15</v>
      </c>
      <c r="H87">
        <v>13008</v>
      </c>
      <c r="I87">
        <v>41.835132999999999</v>
      </c>
      <c r="J87">
        <v>-87.625707000000006</v>
      </c>
      <c r="K87">
        <v>41.880541000000001</v>
      </c>
      <c r="L87">
        <v>-87.624482999999998</v>
      </c>
      <c r="M87" t="s">
        <v>31</v>
      </c>
      <c r="N87" s="12">
        <v>4.0868055555555553E-2</v>
      </c>
      <c r="O87">
        <v>5</v>
      </c>
      <c r="P87" t="s">
        <v>558</v>
      </c>
    </row>
    <row r="88" spans="1:16" x14ac:dyDescent="0.25">
      <c r="A88" t="s">
        <v>249</v>
      </c>
      <c r="B88" t="s">
        <v>14</v>
      </c>
      <c r="C88" s="11">
        <v>45078.990636574075</v>
      </c>
      <c r="D88" s="11">
        <v>45079.010046296295</v>
      </c>
      <c r="E88" t="s">
        <v>41</v>
      </c>
      <c r="F88" t="s">
        <v>42</v>
      </c>
      <c r="G88" t="s">
        <v>15</v>
      </c>
      <c r="H88">
        <v>13008</v>
      </c>
      <c r="I88">
        <v>41.903345999999999</v>
      </c>
      <c r="J88">
        <v>-87.630878999999993</v>
      </c>
      <c r="K88">
        <v>41.880954000000003</v>
      </c>
      <c r="L88">
        <v>-87.624307000000002</v>
      </c>
      <c r="M88" t="s">
        <v>31</v>
      </c>
      <c r="N88" s="12">
        <v>1.9409722222222221E-2</v>
      </c>
      <c r="O88">
        <v>5</v>
      </c>
      <c r="P88" t="s">
        <v>558</v>
      </c>
    </row>
    <row r="89" spans="1:16" x14ac:dyDescent="0.25">
      <c r="A89" t="s">
        <v>252</v>
      </c>
      <c r="B89" t="s">
        <v>37</v>
      </c>
      <c r="C89" s="11">
        <v>45080.517962962964</v>
      </c>
      <c r="D89" s="11">
        <v>45080.570289351854</v>
      </c>
      <c r="E89" t="s">
        <v>66</v>
      </c>
      <c r="F89">
        <v>13042</v>
      </c>
      <c r="G89" t="s">
        <v>21</v>
      </c>
      <c r="H89">
        <v>21213</v>
      </c>
      <c r="I89">
        <v>41.901232</v>
      </c>
      <c r="J89">
        <v>-87.623652000000007</v>
      </c>
      <c r="K89">
        <v>41.834608000000003</v>
      </c>
      <c r="L89">
        <v>-87.626262999999994</v>
      </c>
      <c r="M89" t="s">
        <v>31</v>
      </c>
      <c r="N89" s="12">
        <v>5.2326388888888888E-2</v>
      </c>
      <c r="O89">
        <v>7</v>
      </c>
      <c r="P89" t="s">
        <v>560</v>
      </c>
    </row>
    <row r="90" spans="1:16" x14ac:dyDescent="0.25">
      <c r="A90" t="s">
        <v>254</v>
      </c>
      <c r="B90" t="s">
        <v>14</v>
      </c>
      <c r="C90" s="11">
        <v>45080.71601851852</v>
      </c>
      <c r="D90" s="11">
        <v>45080.729247685187</v>
      </c>
      <c r="E90" t="s">
        <v>57</v>
      </c>
      <c r="F90" t="s">
        <v>58</v>
      </c>
      <c r="G90" t="s">
        <v>27</v>
      </c>
      <c r="H90" t="s">
        <v>28</v>
      </c>
      <c r="I90">
        <v>41.912177999999997</v>
      </c>
      <c r="J90">
        <v>-87.634951999999998</v>
      </c>
      <c r="K90">
        <v>41.888931999999997</v>
      </c>
      <c r="L90">
        <v>-87.638710000000003</v>
      </c>
      <c r="M90" t="s">
        <v>31</v>
      </c>
      <c r="N90" s="12">
        <v>1.3229166666666667E-2</v>
      </c>
      <c r="O90">
        <v>7</v>
      </c>
      <c r="P90" t="s">
        <v>560</v>
      </c>
    </row>
    <row r="91" spans="1:16" x14ac:dyDescent="0.25">
      <c r="A91" t="s">
        <v>256</v>
      </c>
      <c r="B91" t="s">
        <v>14</v>
      </c>
      <c r="C91" s="11">
        <v>45081.511597222219</v>
      </c>
      <c r="D91" s="11">
        <v>45081.523854166669</v>
      </c>
      <c r="E91" t="s">
        <v>41</v>
      </c>
      <c r="F91" t="s">
        <v>42</v>
      </c>
      <c r="G91" t="s">
        <v>41</v>
      </c>
      <c r="H91" t="s">
        <v>42</v>
      </c>
      <c r="I91">
        <v>41.903008</v>
      </c>
      <c r="J91">
        <v>-87.631694999999993</v>
      </c>
      <c r="K91">
        <v>41.902776000000003</v>
      </c>
      <c r="L91">
        <v>-87.631034999999997</v>
      </c>
      <c r="M91" t="s">
        <v>31</v>
      </c>
      <c r="N91" s="12">
        <v>1.2256944444444444E-2</v>
      </c>
      <c r="O91">
        <v>1</v>
      </c>
      <c r="P91" t="s">
        <v>554</v>
      </c>
    </row>
    <row r="92" spans="1:16" x14ac:dyDescent="0.25">
      <c r="A92" t="s">
        <v>257</v>
      </c>
      <c r="B92" t="s">
        <v>37</v>
      </c>
      <c r="C92" s="11">
        <v>45082.534803240742</v>
      </c>
      <c r="D92" s="11">
        <v>45082.544930555552</v>
      </c>
      <c r="E92" t="s">
        <v>24</v>
      </c>
      <c r="F92">
        <v>13263</v>
      </c>
      <c r="G92" t="s">
        <v>35</v>
      </c>
      <c r="H92">
        <v>13022</v>
      </c>
      <c r="I92">
        <v>41.885204999999999</v>
      </c>
      <c r="J92">
        <v>-87.619197999999997</v>
      </c>
      <c r="K92">
        <v>41.892299999999999</v>
      </c>
      <c r="L92">
        <v>-87.61242</v>
      </c>
      <c r="M92" t="s">
        <v>31</v>
      </c>
      <c r="N92" s="12">
        <v>1.0127314814814815E-2</v>
      </c>
      <c r="O92">
        <v>2</v>
      </c>
      <c r="P92" t="s">
        <v>555</v>
      </c>
    </row>
    <row r="93" spans="1:16" x14ac:dyDescent="0.25">
      <c r="A93" t="s">
        <v>259</v>
      </c>
      <c r="B93" t="s">
        <v>14</v>
      </c>
      <c r="C93" s="11">
        <v>45083.076828703706</v>
      </c>
      <c r="D93" s="11">
        <v>45083.083993055552</v>
      </c>
      <c r="E93" t="s">
        <v>23</v>
      </c>
      <c r="F93">
        <v>13011</v>
      </c>
      <c r="G93" t="s">
        <v>57</v>
      </c>
      <c r="H93" t="s">
        <v>58</v>
      </c>
      <c r="I93">
        <v>41.879033999999997</v>
      </c>
      <c r="J93">
        <v>-87.639760999999993</v>
      </c>
      <c r="K93">
        <v>41.912326999999998</v>
      </c>
      <c r="L93">
        <v>-87.634642999999997</v>
      </c>
      <c r="M93" t="s">
        <v>31</v>
      </c>
      <c r="N93" s="12">
        <v>7.1643518518518514E-3</v>
      </c>
      <c r="O93">
        <v>3</v>
      </c>
      <c r="P93" t="s">
        <v>556</v>
      </c>
    </row>
    <row r="94" spans="1:16" x14ac:dyDescent="0.25">
      <c r="A94" t="s">
        <v>262</v>
      </c>
      <c r="B94" t="s">
        <v>37</v>
      </c>
      <c r="C94" s="11">
        <v>45086.174988425926</v>
      </c>
      <c r="D94" s="11">
        <v>45086.185925925929</v>
      </c>
      <c r="E94" t="s">
        <v>66</v>
      </c>
      <c r="F94">
        <v>13042</v>
      </c>
      <c r="G94" t="s">
        <v>66</v>
      </c>
      <c r="H94">
        <v>13042</v>
      </c>
      <c r="I94">
        <v>41.900793999999998</v>
      </c>
      <c r="J94">
        <v>-87.623491999999999</v>
      </c>
      <c r="K94">
        <v>41.901167999999998</v>
      </c>
      <c r="L94">
        <v>-87.623487999999995</v>
      </c>
      <c r="M94" t="s">
        <v>31</v>
      </c>
      <c r="N94" s="12">
        <v>1.0937500000000001E-2</v>
      </c>
      <c r="O94">
        <v>6</v>
      </c>
      <c r="P94" t="s">
        <v>559</v>
      </c>
    </row>
    <row r="95" spans="1:16" x14ac:dyDescent="0.25">
      <c r="A95" t="s">
        <v>269</v>
      </c>
      <c r="B95" t="s">
        <v>14</v>
      </c>
      <c r="C95" s="11">
        <v>45089.825300925928</v>
      </c>
      <c r="D95" s="11">
        <v>45089.831770833334</v>
      </c>
      <c r="E95" t="s">
        <v>47</v>
      </c>
      <c r="F95" t="s">
        <v>48</v>
      </c>
      <c r="G95" t="s">
        <v>57</v>
      </c>
      <c r="H95" t="s">
        <v>58</v>
      </c>
      <c r="I95">
        <v>41.882615000000001</v>
      </c>
      <c r="J95">
        <v>-87.641065999999995</v>
      </c>
      <c r="K95">
        <v>41.912362999999999</v>
      </c>
      <c r="L95">
        <v>-87.634536999999995</v>
      </c>
      <c r="M95" t="s">
        <v>31</v>
      </c>
      <c r="N95" s="12">
        <v>6.4699074074074069E-3</v>
      </c>
      <c r="O95">
        <v>2</v>
      </c>
      <c r="P95" t="s">
        <v>555</v>
      </c>
    </row>
    <row r="96" spans="1:16" x14ac:dyDescent="0.25">
      <c r="A96" t="s">
        <v>270</v>
      </c>
      <c r="B96" t="s">
        <v>14</v>
      </c>
      <c r="C96" s="11">
        <v>45089.908275462964</v>
      </c>
      <c r="D96" s="11">
        <v>45089.944930555554</v>
      </c>
      <c r="E96" t="s">
        <v>19</v>
      </c>
      <c r="F96" t="s">
        <v>20</v>
      </c>
      <c r="G96" t="s">
        <v>24</v>
      </c>
      <c r="H96">
        <v>13263</v>
      </c>
      <c r="I96">
        <v>41.926665</v>
      </c>
      <c r="J96">
        <v>-87.631009000000006</v>
      </c>
      <c r="K96">
        <v>41.885128999999999</v>
      </c>
      <c r="L96">
        <v>-87.619024999999993</v>
      </c>
      <c r="M96" t="s">
        <v>31</v>
      </c>
      <c r="N96" s="12">
        <v>3.6655092592592593E-2</v>
      </c>
      <c r="O96">
        <v>2</v>
      </c>
      <c r="P96" t="s">
        <v>555</v>
      </c>
    </row>
    <row r="97" spans="1:16" x14ac:dyDescent="0.25">
      <c r="A97" t="s">
        <v>271</v>
      </c>
      <c r="B97" t="s">
        <v>14</v>
      </c>
      <c r="C97" s="11">
        <v>45090.541921296295</v>
      </c>
      <c r="D97" s="11">
        <v>45090.555925925924</v>
      </c>
      <c r="E97" t="s">
        <v>16</v>
      </c>
      <c r="F97">
        <v>13045</v>
      </c>
      <c r="G97" t="s">
        <v>16</v>
      </c>
      <c r="H97">
        <v>13045</v>
      </c>
      <c r="I97">
        <v>41.893661999999999</v>
      </c>
      <c r="J97">
        <v>-87.629298000000006</v>
      </c>
      <c r="K97">
        <v>41.893828999999997</v>
      </c>
      <c r="L97">
        <v>-87.628989000000004</v>
      </c>
      <c r="M97" t="s">
        <v>31</v>
      </c>
      <c r="N97" s="12">
        <v>1.4004629629629631E-2</v>
      </c>
      <c r="O97">
        <v>3</v>
      </c>
      <c r="P97" t="s">
        <v>556</v>
      </c>
    </row>
    <row r="98" spans="1:16" x14ac:dyDescent="0.25">
      <c r="A98" t="s">
        <v>272</v>
      </c>
      <c r="B98" t="s">
        <v>37</v>
      </c>
      <c r="C98" s="11">
        <v>45090.655949074076</v>
      </c>
      <c r="D98" s="11">
        <v>45090.665092592593</v>
      </c>
      <c r="E98" t="s">
        <v>27</v>
      </c>
      <c r="F98" t="s">
        <v>28</v>
      </c>
      <c r="G98" t="s">
        <v>57</v>
      </c>
      <c r="H98" t="s">
        <v>58</v>
      </c>
      <c r="I98">
        <v>41.888826000000002</v>
      </c>
      <c r="J98">
        <v>-87.638879000000003</v>
      </c>
      <c r="K98">
        <v>41.912497999999999</v>
      </c>
      <c r="L98">
        <v>-87.634912999999997</v>
      </c>
      <c r="M98" t="s">
        <v>31</v>
      </c>
      <c r="N98" s="12">
        <v>9.1435185185185178E-3</v>
      </c>
      <c r="O98">
        <v>3</v>
      </c>
      <c r="P98" t="s">
        <v>556</v>
      </c>
    </row>
    <row r="99" spans="1:16" x14ac:dyDescent="0.25">
      <c r="A99" t="s">
        <v>275</v>
      </c>
      <c r="B99" t="s">
        <v>14</v>
      </c>
      <c r="C99" s="11">
        <v>45094.33021990741</v>
      </c>
      <c r="D99" s="11">
        <v>45094.338483796295</v>
      </c>
      <c r="E99" t="s">
        <v>35</v>
      </c>
      <c r="F99">
        <v>13022</v>
      </c>
      <c r="G99" t="s">
        <v>47</v>
      </c>
      <c r="H99" t="s">
        <v>48</v>
      </c>
      <c r="I99">
        <v>41.892598</v>
      </c>
      <c r="J99">
        <v>-87.611717999999996</v>
      </c>
      <c r="K99">
        <v>41.882530000000003</v>
      </c>
      <c r="L99">
        <v>-87.641283000000001</v>
      </c>
      <c r="M99" t="s">
        <v>31</v>
      </c>
      <c r="N99" s="12">
        <v>8.2638888888888883E-3</v>
      </c>
      <c r="O99">
        <v>7</v>
      </c>
      <c r="P99" t="s">
        <v>560</v>
      </c>
    </row>
    <row r="100" spans="1:16" x14ac:dyDescent="0.25">
      <c r="A100" t="s">
        <v>276</v>
      </c>
      <c r="B100" t="s">
        <v>14</v>
      </c>
      <c r="C100" s="11">
        <v>45094.635196759256</v>
      </c>
      <c r="D100" s="11">
        <v>45094.650324074071</v>
      </c>
      <c r="E100" t="s">
        <v>15</v>
      </c>
      <c r="F100">
        <v>13008</v>
      </c>
      <c r="G100" t="s">
        <v>21</v>
      </c>
      <c r="H100">
        <v>21213</v>
      </c>
      <c r="I100">
        <v>41.881227000000003</v>
      </c>
      <c r="J100">
        <v>-87.624016999999995</v>
      </c>
      <c r="K100">
        <v>41.835030000000003</v>
      </c>
      <c r="L100">
        <v>-87.625578000000004</v>
      </c>
      <c r="M100" t="s">
        <v>31</v>
      </c>
      <c r="N100" s="12">
        <v>1.5127314814814816E-2</v>
      </c>
      <c r="O100">
        <v>7</v>
      </c>
      <c r="P100" t="s">
        <v>560</v>
      </c>
    </row>
    <row r="101" spans="1:16" x14ac:dyDescent="0.25">
      <c r="A101" t="s">
        <v>279</v>
      </c>
      <c r="B101" t="s">
        <v>14</v>
      </c>
      <c r="C101" s="11">
        <v>45099.413518518515</v>
      </c>
      <c r="D101" s="11">
        <v>45099.431180555555</v>
      </c>
      <c r="E101" t="s">
        <v>33</v>
      </c>
      <c r="F101" t="s">
        <v>34</v>
      </c>
      <c r="G101" t="s">
        <v>33</v>
      </c>
      <c r="H101" t="s">
        <v>34</v>
      </c>
      <c r="I101">
        <v>41.887377999999998</v>
      </c>
      <c r="J101">
        <v>-87.612436000000002</v>
      </c>
      <c r="K101">
        <v>41.887450000000001</v>
      </c>
      <c r="L101">
        <v>-87.613285000000005</v>
      </c>
      <c r="M101" t="s">
        <v>31</v>
      </c>
      <c r="N101" s="12">
        <v>1.7662037037037035E-2</v>
      </c>
      <c r="O101">
        <v>5</v>
      </c>
      <c r="P101" t="s">
        <v>558</v>
      </c>
    </row>
    <row r="102" spans="1:16" x14ac:dyDescent="0.25">
      <c r="A102" t="s">
        <v>280</v>
      </c>
      <c r="B102" t="s">
        <v>37</v>
      </c>
      <c r="C102" s="11">
        <v>45101.282280092593</v>
      </c>
      <c r="D102" s="11">
        <v>45101.291562500002</v>
      </c>
      <c r="E102" t="s">
        <v>35</v>
      </c>
      <c r="F102">
        <v>13022</v>
      </c>
      <c r="G102" t="s">
        <v>33</v>
      </c>
      <c r="H102" t="s">
        <v>34</v>
      </c>
      <c r="I102">
        <v>41.892035</v>
      </c>
      <c r="J102">
        <v>-87.611878000000004</v>
      </c>
      <c r="K102">
        <v>41.887276</v>
      </c>
      <c r="L102">
        <v>-87.612650000000002</v>
      </c>
      <c r="M102" t="s">
        <v>31</v>
      </c>
      <c r="N102" s="12">
        <v>9.2824074074074076E-3</v>
      </c>
      <c r="O102">
        <v>7</v>
      </c>
      <c r="P102" t="s">
        <v>560</v>
      </c>
    </row>
    <row r="103" spans="1:16" x14ac:dyDescent="0.25">
      <c r="A103" t="s">
        <v>281</v>
      </c>
      <c r="B103" t="s">
        <v>14</v>
      </c>
      <c r="C103" s="11">
        <v>45104.239629629628</v>
      </c>
      <c r="D103" s="11">
        <v>45104.248796296299</v>
      </c>
      <c r="E103" t="s">
        <v>23</v>
      </c>
      <c r="F103">
        <v>13011</v>
      </c>
      <c r="G103" t="s">
        <v>57</v>
      </c>
      <c r="H103" t="s">
        <v>58</v>
      </c>
      <c r="I103">
        <v>41.878807999999999</v>
      </c>
      <c r="J103">
        <v>-87.639702999999997</v>
      </c>
      <c r="K103">
        <v>41.911689000000003</v>
      </c>
      <c r="L103">
        <v>-87.634243999999995</v>
      </c>
      <c r="M103" t="s">
        <v>31</v>
      </c>
      <c r="N103" s="12">
        <v>9.1666666666666667E-3</v>
      </c>
      <c r="O103">
        <v>3</v>
      </c>
      <c r="P103" t="s">
        <v>556</v>
      </c>
    </row>
    <row r="104" spans="1:16" x14ac:dyDescent="0.25">
      <c r="A104" t="s">
        <v>286</v>
      </c>
      <c r="B104" t="s">
        <v>14</v>
      </c>
      <c r="C104" s="11">
        <v>45107.634201388886</v>
      </c>
      <c r="D104" s="11">
        <v>45107.655972222223</v>
      </c>
      <c r="E104" t="s">
        <v>33</v>
      </c>
      <c r="F104" t="s">
        <v>34</v>
      </c>
      <c r="G104" t="s">
        <v>23</v>
      </c>
      <c r="H104">
        <v>13011</v>
      </c>
      <c r="I104">
        <v>41.887104999999998</v>
      </c>
      <c r="J104">
        <v>-87.613046999999995</v>
      </c>
      <c r="K104">
        <v>41.878793999999999</v>
      </c>
      <c r="L104">
        <v>-87.639948000000004</v>
      </c>
      <c r="M104" t="s">
        <v>31</v>
      </c>
      <c r="N104" s="12">
        <v>2.1770833333333336E-2</v>
      </c>
      <c r="O104">
        <v>6</v>
      </c>
      <c r="P104" t="s">
        <v>559</v>
      </c>
    </row>
    <row r="105" spans="1:16" x14ac:dyDescent="0.25">
      <c r="A105" t="s">
        <v>287</v>
      </c>
      <c r="B105" t="s">
        <v>14</v>
      </c>
      <c r="C105" s="11">
        <v>45108.530497685184</v>
      </c>
      <c r="D105" s="11">
        <v>45108.537129629629</v>
      </c>
      <c r="E105" t="s">
        <v>24</v>
      </c>
      <c r="F105">
        <v>13263</v>
      </c>
      <c r="G105" t="s">
        <v>24</v>
      </c>
      <c r="H105">
        <v>13263</v>
      </c>
      <c r="I105">
        <v>41.884672999999999</v>
      </c>
      <c r="J105">
        <v>-87.619533000000004</v>
      </c>
      <c r="K105">
        <v>41.885041000000001</v>
      </c>
      <c r="L105">
        <v>-87.619922000000003</v>
      </c>
      <c r="M105" t="s">
        <v>31</v>
      </c>
      <c r="N105" s="12">
        <v>6.6319444444444446E-3</v>
      </c>
      <c r="O105">
        <v>7</v>
      </c>
      <c r="P105" t="s">
        <v>560</v>
      </c>
    </row>
    <row r="106" spans="1:16" x14ac:dyDescent="0.25">
      <c r="A106" t="s">
        <v>288</v>
      </c>
      <c r="B106" t="s">
        <v>26</v>
      </c>
      <c r="C106" s="11">
        <v>45108.658483796295</v>
      </c>
      <c r="D106" s="11">
        <v>45108.668749999997</v>
      </c>
      <c r="E106" t="s">
        <v>33</v>
      </c>
      <c r="F106" t="s">
        <v>34</v>
      </c>
      <c r="G106" t="s">
        <v>33</v>
      </c>
      <c r="H106" t="s">
        <v>34</v>
      </c>
      <c r="I106">
        <v>41.886561999999998</v>
      </c>
      <c r="J106">
        <v>-87.613105000000004</v>
      </c>
      <c r="K106">
        <v>41.886502999999998</v>
      </c>
      <c r="L106">
        <v>-87.613131999999993</v>
      </c>
      <c r="M106" t="s">
        <v>31</v>
      </c>
      <c r="N106" s="12">
        <v>1.0266203703703703E-2</v>
      </c>
      <c r="O106">
        <v>7</v>
      </c>
      <c r="P106" t="s">
        <v>560</v>
      </c>
    </row>
    <row r="107" spans="1:16" x14ac:dyDescent="0.25">
      <c r="A107" t="s">
        <v>296</v>
      </c>
      <c r="B107" t="s">
        <v>37</v>
      </c>
      <c r="C107" s="11">
        <v>45117.724016203705</v>
      </c>
      <c r="D107" s="11">
        <v>45117.788171296299</v>
      </c>
      <c r="E107" t="s">
        <v>33</v>
      </c>
      <c r="F107" t="s">
        <v>34</v>
      </c>
      <c r="G107" t="s">
        <v>57</v>
      </c>
      <c r="H107" t="s">
        <v>58</v>
      </c>
      <c r="I107">
        <v>41.886938000000001</v>
      </c>
      <c r="J107">
        <v>-87.612392</v>
      </c>
      <c r="K107">
        <v>41.912328000000002</v>
      </c>
      <c r="L107">
        <v>-87.634427000000002</v>
      </c>
      <c r="M107" t="s">
        <v>31</v>
      </c>
      <c r="N107" s="12">
        <v>6.4155092592592597E-2</v>
      </c>
      <c r="O107">
        <v>2</v>
      </c>
      <c r="P107" t="s">
        <v>555</v>
      </c>
    </row>
    <row r="108" spans="1:16" x14ac:dyDescent="0.25">
      <c r="A108" t="s">
        <v>298</v>
      </c>
      <c r="B108" t="s">
        <v>37</v>
      </c>
      <c r="C108" s="11">
        <v>45118.863576388889</v>
      </c>
      <c r="D108" s="11">
        <v>45118.875069444446</v>
      </c>
      <c r="E108" t="s">
        <v>33</v>
      </c>
      <c r="F108" t="s">
        <v>34</v>
      </c>
      <c r="G108" t="s">
        <v>21</v>
      </c>
      <c r="H108">
        <v>21213</v>
      </c>
      <c r="I108">
        <v>41.886566999999999</v>
      </c>
      <c r="J108">
        <v>-87.612587000000005</v>
      </c>
      <c r="K108">
        <v>41.834781</v>
      </c>
      <c r="L108">
        <v>-87.625861999999998</v>
      </c>
      <c r="M108" t="s">
        <v>31</v>
      </c>
      <c r="N108" s="12">
        <v>1.1493055555555555E-2</v>
      </c>
      <c r="O108">
        <v>3</v>
      </c>
      <c r="P108" t="s">
        <v>556</v>
      </c>
    </row>
    <row r="109" spans="1:16" x14ac:dyDescent="0.25">
      <c r="A109" t="s">
        <v>300</v>
      </c>
      <c r="B109" t="s">
        <v>14</v>
      </c>
      <c r="C109" s="11">
        <v>45121.340995370374</v>
      </c>
      <c r="D109" s="11">
        <v>45121.36446759259</v>
      </c>
      <c r="E109" t="s">
        <v>19</v>
      </c>
      <c r="F109" t="s">
        <v>20</v>
      </c>
      <c r="G109" t="s">
        <v>33</v>
      </c>
      <c r="H109" t="s">
        <v>34</v>
      </c>
      <c r="I109">
        <v>41.926352000000001</v>
      </c>
      <c r="J109">
        <v>-87.630904999999998</v>
      </c>
      <c r="K109">
        <v>41.886752000000001</v>
      </c>
      <c r="L109">
        <v>-87.612544</v>
      </c>
      <c r="M109" t="s">
        <v>31</v>
      </c>
      <c r="N109" s="12">
        <v>2.3472222222222217E-2</v>
      </c>
      <c r="O109">
        <v>6</v>
      </c>
      <c r="P109" t="s">
        <v>559</v>
      </c>
    </row>
    <row r="110" spans="1:16" x14ac:dyDescent="0.25">
      <c r="A110" t="s">
        <v>302</v>
      </c>
      <c r="B110" t="s">
        <v>37</v>
      </c>
      <c r="C110" s="11">
        <v>45124.896516203706</v>
      </c>
      <c r="D110" s="11">
        <v>45124.91574074074</v>
      </c>
      <c r="E110" t="s">
        <v>23</v>
      </c>
      <c r="F110">
        <v>13011</v>
      </c>
      <c r="G110" t="s">
        <v>33</v>
      </c>
      <c r="H110" t="s">
        <v>34</v>
      </c>
      <c r="I110">
        <v>41.879004000000002</v>
      </c>
      <c r="J110">
        <v>-87.639493999999999</v>
      </c>
      <c r="K110">
        <v>41.886629999999997</v>
      </c>
      <c r="L110">
        <v>-87.612685999999997</v>
      </c>
      <c r="M110" t="s">
        <v>31</v>
      </c>
      <c r="N110" s="12">
        <v>1.9224537037037037E-2</v>
      </c>
      <c r="O110">
        <v>2</v>
      </c>
      <c r="P110" t="s">
        <v>555</v>
      </c>
    </row>
    <row r="111" spans="1:16" x14ac:dyDescent="0.25">
      <c r="A111" t="s">
        <v>310</v>
      </c>
      <c r="B111" t="s">
        <v>37</v>
      </c>
      <c r="C111" s="11">
        <v>45129.296875</v>
      </c>
      <c r="D111" s="11">
        <v>45129.303715277776</v>
      </c>
      <c r="E111" t="s">
        <v>24</v>
      </c>
      <c r="F111">
        <v>13263</v>
      </c>
      <c r="G111" t="s">
        <v>15</v>
      </c>
      <c r="H111">
        <v>13008</v>
      </c>
      <c r="I111">
        <v>41.885156000000002</v>
      </c>
      <c r="J111">
        <v>-87.619024999999993</v>
      </c>
      <c r="K111">
        <v>41.881328000000003</v>
      </c>
      <c r="L111">
        <v>-87.623829999999998</v>
      </c>
      <c r="M111" t="s">
        <v>31</v>
      </c>
      <c r="N111" s="12">
        <v>6.8402777777777776E-3</v>
      </c>
      <c r="O111">
        <v>7</v>
      </c>
      <c r="P111" t="s">
        <v>560</v>
      </c>
    </row>
    <row r="112" spans="1:16" x14ac:dyDescent="0.25">
      <c r="A112" t="s">
        <v>315</v>
      </c>
      <c r="B112" t="s">
        <v>14</v>
      </c>
      <c r="C112" s="11">
        <v>45133.039409722223</v>
      </c>
      <c r="D112" s="11">
        <v>45133.051840277774</v>
      </c>
      <c r="E112" t="s">
        <v>27</v>
      </c>
      <c r="F112" t="s">
        <v>28</v>
      </c>
      <c r="G112" t="s">
        <v>27</v>
      </c>
      <c r="H112" t="s">
        <v>28</v>
      </c>
      <c r="I112">
        <v>41.889339</v>
      </c>
      <c r="J112">
        <v>-87.638403999999994</v>
      </c>
      <c r="K112">
        <v>41.888840000000002</v>
      </c>
      <c r="L112">
        <v>-87.638772000000003</v>
      </c>
      <c r="M112" t="s">
        <v>31</v>
      </c>
      <c r="N112" s="12">
        <v>1.2430555555555554E-2</v>
      </c>
      <c r="O112">
        <v>4</v>
      </c>
      <c r="P112" t="s">
        <v>557</v>
      </c>
    </row>
    <row r="113" spans="1:16" x14ac:dyDescent="0.25">
      <c r="A113" t="s">
        <v>317</v>
      </c>
      <c r="B113" t="s">
        <v>14</v>
      </c>
      <c r="C113" s="11">
        <v>45133.602442129632</v>
      </c>
      <c r="D113" s="11">
        <v>45133.630277777775</v>
      </c>
      <c r="E113" t="s">
        <v>30</v>
      </c>
      <c r="F113">
        <v>13137</v>
      </c>
      <c r="G113" t="s">
        <v>30</v>
      </c>
      <c r="H113">
        <v>13137</v>
      </c>
      <c r="I113">
        <v>41.937781000000001</v>
      </c>
      <c r="J113">
        <v>-87.644229999999993</v>
      </c>
      <c r="K113">
        <v>41.937514</v>
      </c>
      <c r="L113">
        <v>-87.644566999999995</v>
      </c>
      <c r="M113" t="s">
        <v>31</v>
      </c>
      <c r="N113" s="12">
        <v>2.7835648148148151E-2</v>
      </c>
      <c r="O113">
        <v>4</v>
      </c>
      <c r="P113" t="s">
        <v>557</v>
      </c>
    </row>
    <row r="114" spans="1:16" x14ac:dyDescent="0.25">
      <c r="A114" t="s">
        <v>322</v>
      </c>
      <c r="B114" t="s">
        <v>14</v>
      </c>
      <c r="C114" s="11">
        <v>45135.177442129629</v>
      </c>
      <c r="D114" s="11">
        <v>45135.188564814816</v>
      </c>
      <c r="E114" t="s">
        <v>30</v>
      </c>
      <c r="F114">
        <v>13137</v>
      </c>
      <c r="G114" t="s">
        <v>30</v>
      </c>
      <c r="H114">
        <v>13137</v>
      </c>
      <c r="I114">
        <v>41.937761999999999</v>
      </c>
      <c r="J114">
        <v>-87.643772999999996</v>
      </c>
      <c r="K114">
        <v>41.937229000000002</v>
      </c>
      <c r="L114">
        <v>-87.644437999999994</v>
      </c>
      <c r="M114" t="s">
        <v>31</v>
      </c>
      <c r="N114" s="12">
        <v>1.1122685185185185E-2</v>
      </c>
      <c r="O114">
        <v>6</v>
      </c>
      <c r="P114" t="s">
        <v>559</v>
      </c>
    </row>
    <row r="115" spans="1:16" x14ac:dyDescent="0.25">
      <c r="A115" t="s">
        <v>324</v>
      </c>
      <c r="B115" t="s">
        <v>14</v>
      </c>
      <c r="C115" s="11">
        <v>45136.545289351852</v>
      </c>
      <c r="D115" s="11">
        <v>45136.610196759262</v>
      </c>
      <c r="E115" t="s">
        <v>23</v>
      </c>
      <c r="F115">
        <v>13011</v>
      </c>
      <c r="G115" t="s">
        <v>66</v>
      </c>
      <c r="H115">
        <v>13042</v>
      </c>
      <c r="I115">
        <v>41.879348999999998</v>
      </c>
      <c r="J115">
        <v>-87.640020000000007</v>
      </c>
      <c r="K115">
        <v>41.900525999999999</v>
      </c>
      <c r="L115">
        <v>-87.623455000000007</v>
      </c>
      <c r="M115" t="s">
        <v>31</v>
      </c>
      <c r="N115" s="12">
        <v>6.4907407407407414E-2</v>
      </c>
      <c r="O115">
        <v>7</v>
      </c>
      <c r="P115" t="s">
        <v>560</v>
      </c>
    </row>
    <row r="116" spans="1:16" x14ac:dyDescent="0.25">
      <c r="A116" t="s">
        <v>328</v>
      </c>
      <c r="B116" t="s">
        <v>14</v>
      </c>
      <c r="C116" s="11">
        <v>45138.061284722222</v>
      </c>
      <c r="D116" s="11">
        <v>45138.071099537039</v>
      </c>
      <c r="E116" t="s">
        <v>35</v>
      </c>
      <c r="F116">
        <v>13022</v>
      </c>
      <c r="G116" t="s">
        <v>35</v>
      </c>
      <c r="H116">
        <v>13022</v>
      </c>
      <c r="I116">
        <v>41.892046999999998</v>
      </c>
      <c r="J116">
        <v>-87.612343999999993</v>
      </c>
      <c r="K116">
        <v>41.892024999999997</v>
      </c>
      <c r="L116">
        <v>-87.612236999999993</v>
      </c>
      <c r="M116" t="s">
        <v>31</v>
      </c>
      <c r="N116" s="12">
        <v>9.8148148148148144E-3</v>
      </c>
      <c r="O116">
        <v>2</v>
      </c>
      <c r="P116" t="s">
        <v>555</v>
      </c>
    </row>
    <row r="117" spans="1:16" x14ac:dyDescent="0.25">
      <c r="A117" t="s">
        <v>329</v>
      </c>
      <c r="B117" t="s">
        <v>37</v>
      </c>
      <c r="C117" s="11">
        <v>45138.403287037036</v>
      </c>
      <c r="D117" s="11">
        <v>45138.4137962963</v>
      </c>
      <c r="E117" t="s">
        <v>24</v>
      </c>
      <c r="F117">
        <v>13263</v>
      </c>
      <c r="G117" t="s">
        <v>27</v>
      </c>
      <c r="H117" t="s">
        <v>28</v>
      </c>
      <c r="I117">
        <v>41.884231999999997</v>
      </c>
      <c r="J117">
        <v>-87.619518999999997</v>
      </c>
      <c r="K117">
        <v>41.88926</v>
      </c>
      <c r="L117">
        <v>-87.638426999999993</v>
      </c>
      <c r="M117" t="s">
        <v>31</v>
      </c>
      <c r="N117" s="12">
        <v>1.050925925925926E-2</v>
      </c>
      <c r="O117">
        <v>2</v>
      </c>
      <c r="P117" t="s">
        <v>555</v>
      </c>
    </row>
    <row r="118" spans="1:16" x14ac:dyDescent="0.25">
      <c r="A118" t="s">
        <v>330</v>
      </c>
      <c r="B118" t="s">
        <v>37</v>
      </c>
      <c r="C118" s="11">
        <v>45141.196620370371</v>
      </c>
      <c r="D118" s="11">
        <v>45141.226643518516</v>
      </c>
      <c r="E118" t="s">
        <v>16</v>
      </c>
      <c r="F118">
        <v>13045</v>
      </c>
      <c r="G118" t="s">
        <v>16</v>
      </c>
      <c r="H118">
        <v>13045</v>
      </c>
      <c r="I118">
        <v>41.893853</v>
      </c>
      <c r="J118">
        <v>-87.628912</v>
      </c>
      <c r="K118">
        <v>41.894261999999998</v>
      </c>
      <c r="L118">
        <v>-87.629261</v>
      </c>
      <c r="M118" t="s">
        <v>31</v>
      </c>
      <c r="N118" s="12">
        <v>3.0023148148148149E-2</v>
      </c>
      <c r="O118">
        <v>5</v>
      </c>
      <c r="P118" t="s">
        <v>558</v>
      </c>
    </row>
    <row r="119" spans="1:16" x14ac:dyDescent="0.25">
      <c r="A119" t="s">
        <v>334</v>
      </c>
      <c r="B119" t="s">
        <v>37</v>
      </c>
      <c r="C119" s="11">
        <v>45143.015081018515</v>
      </c>
      <c r="D119" s="11">
        <v>45143.02008101852</v>
      </c>
      <c r="E119" t="s">
        <v>35</v>
      </c>
      <c r="F119">
        <v>13022</v>
      </c>
      <c r="G119" t="s">
        <v>35</v>
      </c>
      <c r="H119">
        <v>13022</v>
      </c>
      <c r="I119">
        <v>41.892699</v>
      </c>
      <c r="J119">
        <v>-87.611566999999994</v>
      </c>
      <c r="K119">
        <v>41.892000000000003</v>
      </c>
      <c r="L119">
        <v>-87.612335000000002</v>
      </c>
      <c r="M119" t="s">
        <v>31</v>
      </c>
      <c r="N119" s="12">
        <v>5.0000000000000001E-3</v>
      </c>
      <c r="O119">
        <v>7</v>
      </c>
      <c r="P119" t="s">
        <v>560</v>
      </c>
    </row>
    <row r="120" spans="1:16" x14ac:dyDescent="0.25">
      <c r="A120" t="s">
        <v>335</v>
      </c>
      <c r="B120" t="s">
        <v>14</v>
      </c>
      <c r="C120" s="11">
        <v>45143.294479166667</v>
      </c>
      <c r="D120" s="11">
        <v>45143.325532407405</v>
      </c>
      <c r="E120" t="s">
        <v>57</v>
      </c>
      <c r="F120" t="s">
        <v>58</v>
      </c>
      <c r="G120" t="s">
        <v>24</v>
      </c>
      <c r="H120">
        <v>13263</v>
      </c>
      <c r="I120">
        <v>41.911816000000002</v>
      </c>
      <c r="J120">
        <v>-87.634200000000007</v>
      </c>
      <c r="K120">
        <v>41.884605000000001</v>
      </c>
      <c r="L120">
        <v>-87.619681999999997</v>
      </c>
      <c r="M120" t="s">
        <v>31</v>
      </c>
      <c r="N120" s="12">
        <v>3.1053240740740742E-2</v>
      </c>
      <c r="O120">
        <v>7</v>
      </c>
      <c r="P120" t="s">
        <v>560</v>
      </c>
    </row>
    <row r="121" spans="1:16" x14ac:dyDescent="0.25">
      <c r="A121" t="s">
        <v>336</v>
      </c>
      <c r="B121" t="s">
        <v>14</v>
      </c>
      <c r="C121" s="11">
        <v>45143.935185185182</v>
      </c>
      <c r="D121" s="11">
        <v>45143.947546296295</v>
      </c>
      <c r="E121" t="s">
        <v>24</v>
      </c>
      <c r="F121">
        <v>13263</v>
      </c>
      <c r="G121" t="s">
        <v>43</v>
      </c>
      <c r="H121" t="s">
        <v>44</v>
      </c>
      <c r="I121">
        <v>41.884548000000002</v>
      </c>
      <c r="J121">
        <v>-87.619124999999997</v>
      </c>
      <c r="K121">
        <v>41.903111000000003</v>
      </c>
      <c r="L121">
        <v>-87.634812999999994</v>
      </c>
      <c r="M121" t="s">
        <v>31</v>
      </c>
      <c r="N121" s="12">
        <v>1.2361111111111113E-2</v>
      </c>
      <c r="O121">
        <v>7</v>
      </c>
      <c r="P121" t="s">
        <v>560</v>
      </c>
    </row>
    <row r="122" spans="1:16" x14ac:dyDescent="0.25">
      <c r="A122" t="s">
        <v>337</v>
      </c>
      <c r="B122" t="s">
        <v>14</v>
      </c>
      <c r="C122" s="11">
        <v>45144.236759259256</v>
      </c>
      <c r="D122" s="11">
        <v>45144.254537037035</v>
      </c>
      <c r="E122" t="s">
        <v>43</v>
      </c>
      <c r="F122" t="s">
        <v>44</v>
      </c>
      <c r="G122" t="s">
        <v>66</v>
      </c>
      <c r="H122">
        <v>13042</v>
      </c>
      <c r="I122">
        <v>41.903713000000003</v>
      </c>
      <c r="J122">
        <v>-87.634411</v>
      </c>
      <c r="K122">
        <v>41.900832000000001</v>
      </c>
      <c r="L122">
        <v>-87.623501000000005</v>
      </c>
      <c r="M122" t="s">
        <v>31</v>
      </c>
      <c r="N122" s="12">
        <v>1.7777777777777778E-2</v>
      </c>
      <c r="O122">
        <v>1</v>
      </c>
      <c r="P122" t="s">
        <v>554</v>
      </c>
    </row>
    <row r="123" spans="1:16" x14ac:dyDescent="0.25">
      <c r="A123" t="s">
        <v>341</v>
      </c>
      <c r="B123" t="s">
        <v>14</v>
      </c>
      <c r="C123" s="11">
        <v>45146.926805555559</v>
      </c>
      <c r="D123" s="11">
        <v>45146.937916666669</v>
      </c>
      <c r="E123" t="s">
        <v>66</v>
      </c>
      <c r="F123">
        <v>13042</v>
      </c>
      <c r="G123" t="s">
        <v>41</v>
      </c>
      <c r="H123" t="s">
        <v>42</v>
      </c>
      <c r="I123">
        <v>41.900948999999997</v>
      </c>
      <c r="J123">
        <v>-87.623290999999995</v>
      </c>
      <c r="K123">
        <v>41.902715000000001</v>
      </c>
      <c r="L123">
        <v>-87.631107999999998</v>
      </c>
      <c r="M123" t="s">
        <v>31</v>
      </c>
      <c r="N123" s="12">
        <v>1.1111111111111112E-2</v>
      </c>
      <c r="O123">
        <v>3</v>
      </c>
      <c r="P123" t="s">
        <v>556</v>
      </c>
    </row>
    <row r="124" spans="1:16" x14ac:dyDescent="0.25">
      <c r="A124" t="s">
        <v>344</v>
      </c>
      <c r="B124" t="s">
        <v>37</v>
      </c>
      <c r="C124" s="11">
        <v>45148.150972222225</v>
      </c>
      <c r="D124" s="11">
        <v>45148.163159722222</v>
      </c>
      <c r="E124" t="s">
        <v>41</v>
      </c>
      <c r="F124" t="s">
        <v>42</v>
      </c>
      <c r="G124" t="s">
        <v>15</v>
      </c>
      <c r="H124">
        <v>13008</v>
      </c>
      <c r="I124">
        <v>41.903081</v>
      </c>
      <c r="J124">
        <v>-87.631015000000005</v>
      </c>
      <c r="K124">
        <v>41.881345000000003</v>
      </c>
      <c r="L124">
        <v>-87.623866000000007</v>
      </c>
      <c r="M124" t="s">
        <v>31</v>
      </c>
      <c r="N124" s="12">
        <v>1.2187500000000002E-2</v>
      </c>
      <c r="O124">
        <v>5</v>
      </c>
      <c r="P124" t="s">
        <v>558</v>
      </c>
    </row>
    <row r="125" spans="1:16" x14ac:dyDescent="0.25">
      <c r="A125" t="s">
        <v>352</v>
      </c>
      <c r="B125" t="s">
        <v>37</v>
      </c>
      <c r="C125" s="11">
        <v>45153.837256944447</v>
      </c>
      <c r="D125" s="11">
        <v>45153.858807870369</v>
      </c>
      <c r="E125" t="s">
        <v>30</v>
      </c>
      <c r="F125">
        <v>13137</v>
      </c>
      <c r="G125" t="s">
        <v>43</v>
      </c>
      <c r="H125" t="s">
        <v>44</v>
      </c>
      <c r="I125">
        <v>41.938025000000003</v>
      </c>
      <c r="J125">
        <v>-87.644514999999998</v>
      </c>
      <c r="K125">
        <v>41.902976000000002</v>
      </c>
      <c r="L125">
        <v>-87.634044000000003</v>
      </c>
      <c r="M125" t="s">
        <v>31</v>
      </c>
      <c r="N125" s="12">
        <v>2.1550925925925928E-2</v>
      </c>
      <c r="O125">
        <v>3</v>
      </c>
      <c r="P125" t="s">
        <v>556</v>
      </c>
    </row>
    <row r="126" spans="1:16" x14ac:dyDescent="0.25">
      <c r="A126" t="s">
        <v>353</v>
      </c>
      <c r="B126" t="s">
        <v>14</v>
      </c>
      <c r="C126" s="11">
        <v>45154.208101851851</v>
      </c>
      <c r="D126" s="11">
        <v>45154.213425925926</v>
      </c>
      <c r="E126" t="s">
        <v>47</v>
      </c>
      <c r="F126" t="s">
        <v>48</v>
      </c>
      <c r="G126" t="s">
        <v>47</v>
      </c>
      <c r="H126" t="s">
        <v>48</v>
      </c>
      <c r="I126">
        <v>41.882157999999997</v>
      </c>
      <c r="J126">
        <v>-87.640845999999996</v>
      </c>
      <c r="K126">
        <v>41.882112999999997</v>
      </c>
      <c r="L126">
        <v>-87.640696000000005</v>
      </c>
      <c r="M126" t="s">
        <v>31</v>
      </c>
      <c r="N126" s="12">
        <v>5.3240740740740748E-3</v>
      </c>
      <c r="O126">
        <v>4</v>
      </c>
      <c r="P126" t="s">
        <v>557</v>
      </c>
    </row>
    <row r="127" spans="1:16" x14ac:dyDescent="0.25">
      <c r="A127" t="s">
        <v>358</v>
      </c>
      <c r="B127" t="s">
        <v>37</v>
      </c>
      <c r="C127" s="11">
        <v>45157.825821759259</v>
      </c>
      <c r="D127" s="11">
        <v>45157.836747685185</v>
      </c>
      <c r="E127" t="s">
        <v>57</v>
      </c>
      <c r="F127" t="s">
        <v>58</v>
      </c>
      <c r="G127" t="s">
        <v>57</v>
      </c>
      <c r="H127" t="s">
        <v>58</v>
      </c>
      <c r="I127">
        <v>41.911759000000004</v>
      </c>
      <c r="J127">
        <v>-87.634343000000001</v>
      </c>
      <c r="K127">
        <v>41.912557</v>
      </c>
      <c r="L127">
        <v>-87.634694999999994</v>
      </c>
      <c r="M127" t="s">
        <v>31</v>
      </c>
      <c r="N127" s="12">
        <v>1.0925925925925924E-2</v>
      </c>
      <c r="O127">
        <v>7</v>
      </c>
      <c r="P127" t="s">
        <v>560</v>
      </c>
    </row>
    <row r="128" spans="1:16" x14ac:dyDescent="0.25">
      <c r="A128" t="s">
        <v>360</v>
      </c>
      <c r="B128" t="s">
        <v>37</v>
      </c>
      <c r="C128" s="11">
        <v>45159.636250000003</v>
      </c>
      <c r="D128" s="11">
        <v>45159.6562962963</v>
      </c>
      <c r="E128" t="s">
        <v>66</v>
      </c>
      <c r="F128">
        <v>13042</v>
      </c>
      <c r="G128" t="s">
        <v>19</v>
      </c>
      <c r="H128" t="s">
        <v>20</v>
      </c>
      <c r="I128">
        <v>41.900647999999997</v>
      </c>
      <c r="J128">
        <v>-87.623557000000005</v>
      </c>
      <c r="K128">
        <v>41.926644000000003</v>
      </c>
      <c r="L128">
        <v>-87.630880000000005</v>
      </c>
      <c r="M128" t="s">
        <v>31</v>
      </c>
      <c r="N128" s="12">
        <v>2.0046296296296295E-2</v>
      </c>
      <c r="O128">
        <v>2</v>
      </c>
      <c r="P128" t="s">
        <v>555</v>
      </c>
    </row>
    <row r="129" spans="1:16" x14ac:dyDescent="0.25">
      <c r="A129" t="s">
        <v>364</v>
      </c>
      <c r="B129" t="s">
        <v>14</v>
      </c>
      <c r="C129" s="11">
        <v>45163.019675925927</v>
      </c>
      <c r="D129" s="11">
        <v>45163.063842592594</v>
      </c>
      <c r="E129" t="s">
        <v>21</v>
      </c>
      <c r="F129">
        <v>21213</v>
      </c>
      <c r="G129" t="s">
        <v>66</v>
      </c>
      <c r="H129">
        <v>13042</v>
      </c>
      <c r="I129">
        <v>41.834508</v>
      </c>
      <c r="J129">
        <v>-87.625328999999994</v>
      </c>
      <c r="K129">
        <v>41.900869</v>
      </c>
      <c r="L129">
        <v>-87.623383000000004</v>
      </c>
      <c r="M129" t="s">
        <v>31</v>
      </c>
      <c r="N129" s="12">
        <v>4.4166666666666667E-2</v>
      </c>
      <c r="O129">
        <v>6</v>
      </c>
      <c r="P129" t="s">
        <v>559</v>
      </c>
    </row>
    <row r="130" spans="1:16" x14ac:dyDescent="0.25">
      <c r="A130" t="s">
        <v>368</v>
      </c>
      <c r="B130" t="s">
        <v>37</v>
      </c>
      <c r="C130" s="11">
        <v>45165.309328703705</v>
      </c>
      <c r="D130" s="11">
        <v>45165.32</v>
      </c>
      <c r="E130" t="s">
        <v>23</v>
      </c>
      <c r="F130">
        <v>13011</v>
      </c>
      <c r="G130" t="s">
        <v>35</v>
      </c>
      <c r="H130">
        <v>13022</v>
      </c>
      <c r="I130">
        <v>41.879303999999998</v>
      </c>
      <c r="J130">
        <v>-87.639607999999996</v>
      </c>
      <c r="K130">
        <v>41.892361000000001</v>
      </c>
      <c r="L130">
        <v>-87.611582999999996</v>
      </c>
      <c r="M130" t="s">
        <v>31</v>
      </c>
      <c r="N130" s="12">
        <v>1.0671296296296297E-2</v>
      </c>
      <c r="O130">
        <v>1</v>
      </c>
      <c r="P130" t="s">
        <v>554</v>
      </c>
    </row>
    <row r="131" spans="1:16" x14ac:dyDescent="0.25">
      <c r="A131" t="s">
        <v>370</v>
      </c>
      <c r="B131" t="s">
        <v>14</v>
      </c>
      <c r="C131" s="11">
        <v>45169.218564814815</v>
      </c>
      <c r="D131" s="11">
        <v>45169.226145833331</v>
      </c>
      <c r="E131" t="s">
        <v>35</v>
      </c>
      <c r="F131">
        <v>13022</v>
      </c>
      <c r="G131" t="s">
        <v>33</v>
      </c>
      <c r="H131" t="s">
        <v>34</v>
      </c>
      <c r="I131">
        <v>41.892764999999997</v>
      </c>
      <c r="J131">
        <v>-87.612392999999997</v>
      </c>
      <c r="K131">
        <v>41.887070000000001</v>
      </c>
      <c r="L131">
        <v>-87.612932000000001</v>
      </c>
      <c r="M131" t="s">
        <v>31</v>
      </c>
      <c r="N131" s="12">
        <v>7.5810185185185182E-3</v>
      </c>
      <c r="O131">
        <v>5</v>
      </c>
      <c r="P131" t="s">
        <v>558</v>
      </c>
    </row>
    <row r="132" spans="1:16" x14ac:dyDescent="0.25">
      <c r="A132" t="s">
        <v>373</v>
      </c>
      <c r="B132" t="s">
        <v>14</v>
      </c>
      <c r="C132" s="11">
        <v>45172.392858796295</v>
      </c>
      <c r="D132" s="11">
        <v>45172.428935185184</v>
      </c>
      <c r="E132" t="s">
        <v>19</v>
      </c>
      <c r="F132" t="s">
        <v>20</v>
      </c>
      <c r="G132" t="s">
        <v>33</v>
      </c>
      <c r="H132" t="s">
        <v>34</v>
      </c>
      <c r="I132">
        <v>41.925840000000001</v>
      </c>
      <c r="J132">
        <v>-87.631009000000006</v>
      </c>
      <c r="K132">
        <v>41.887149000000001</v>
      </c>
      <c r="L132">
        <v>-87.612976000000003</v>
      </c>
      <c r="M132" t="s">
        <v>31</v>
      </c>
      <c r="N132" s="12">
        <v>3.6076388888888887E-2</v>
      </c>
      <c r="O132">
        <v>1</v>
      </c>
      <c r="P132" t="s">
        <v>554</v>
      </c>
    </row>
    <row r="133" spans="1:16" x14ac:dyDescent="0.25">
      <c r="A133" t="s">
        <v>385</v>
      </c>
      <c r="B133" t="s">
        <v>14</v>
      </c>
      <c r="C133" s="11">
        <v>45179.203182870369</v>
      </c>
      <c r="D133" s="11">
        <v>45179.220763888887</v>
      </c>
      <c r="E133" t="s">
        <v>43</v>
      </c>
      <c r="F133" t="s">
        <v>44</v>
      </c>
      <c r="G133" t="s">
        <v>43</v>
      </c>
      <c r="H133" t="s">
        <v>44</v>
      </c>
      <c r="I133">
        <v>41.902939000000003</v>
      </c>
      <c r="J133">
        <v>-87.634529999999998</v>
      </c>
      <c r="K133">
        <v>41.903717999999998</v>
      </c>
      <c r="L133">
        <v>-87.634127000000007</v>
      </c>
      <c r="M133" t="s">
        <v>31</v>
      </c>
      <c r="N133" s="12">
        <v>1.758101851851852E-2</v>
      </c>
      <c r="O133">
        <v>1</v>
      </c>
      <c r="P133" t="s">
        <v>554</v>
      </c>
    </row>
    <row r="134" spans="1:16" x14ac:dyDescent="0.25">
      <c r="A134" t="s">
        <v>391</v>
      </c>
      <c r="B134" t="s">
        <v>37</v>
      </c>
      <c r="C134" s="11">
        <v>45182.475856481484</v>
      </c>
      <c r="D134" s="11">
        <v>45182.517430555556</v>
      </c>
      <c r="E134" t="s">
        <v>27</v>
      </c>
      <c r="F134" t="s">
        <v>28</v>
      </c>
      <c r="G134" t="s">
        <v>23</v>
      </c>
      <c r="H134">
        <v>13011</v>
      </c>
      <c r="I134">
        <v>41.888930999999999</v>
      </c>
      <c r="J134">
        <v>-87.638992999999999</v>
      </c>
      <c r="K134">
        <v>41.879294999999999</v>
      </c>
      <c r="L134">
        <v>-87.639553000000006</v>
      </c>
      <c r="M134" t="s">
        <v>31</v>
      </c>
      <c r="N134" s="12">
        <v>4.1574074074074076E-2</v>
      </c>
      <c r="O134">
        <v>4</v>
      </c>
      <c r="P134" t="s">
        <v>557</v>
      </c>
    </row>
    <row r="135" spans="1:16" x14ac:dyDescent="0.25">
      <c r="A135" t="s">
        <v>392</v>
      </c>
      <c r="B135" t="s">
        <v>37</v>
      </c>
      <c r="C135" s="11">
        <v>45185.558287037034</v>
      </c>
      <c r="D135" s="11">
        <v>45185.568553240744</v>
      </c>
      <c r="E135" t="s">
        <v>19</v>
      </c>
      <c r="F135" t="s">
        <v>20</v>
      </c>
      <c r="G135" t="s">
        <v>30</v>
      </c>
      <c r="H135">
        <v>13137</v>
      </c>
      <c r="I135">
        <v>41.926282999999998</v>
      </c>
      <c r="J135">
        <v>-87.630555999999999</v>
      </c>
      <c r="K135">
        <v>41.937939999999998</v>
      </c>
      <c r="L135">
        <v>-87.643753000000004</v>
      </c>
      <c r="M135" t="s">
        <v>31</v>
      </c>
      <c r="N135" s="12">
        <v>1.0266203703703703E-2</v>
      </c>
      <c r="O135">
        <v>7</v>
      </c>
      <c r="P135" t="s">
        <v>560</v>
      </c>
    </row>
    <row r="136" spans="1:16" x14ac:dyDescent="0.25">
      <c r="A136" t="s">
        <v>396</v>
      </c>
      <c r="B136" t="s">
        <v>14</v>
      </c>
      <c r="C136" s="11">
        <v>45189.518495370372</v>
      </c>
      <c r="D136" s="11">
        <v>45189.533356481479</v>
      </c>
      <c r="E136" t="s">
        <v>23</v>
      </c>
      <c r="F136">
        <v>13011</v>
      </c>
      <c r="G136" t="s">
        <v>24</v>
      </c>
      <c r="H136">
        <v>13263</v>
      </c>
      <c r="I136">
        <v>41.879092</v>
      </c>
      <c r="J136">
        <v>-87.639461999999995</v>
      </c>
      <c r="K136">
        <v>41.884757999999998</v>
      </c>
      <c r="L136">
        <v>-87.619288999999995</v>
      </c>
      <c r="M136" t="s">
        <v>31</v>
      </c>
      <c r="N136" s="12">
        <v>1.486111111111111E-2</v>
      </c>
      <c r="O136">
        <v>4</v>
      </c>
      <c r="P136" t="s">
        <v>557</v>
      </c>
    </row>
    <row r="137" spans="1:16" x14ac:dyDescent="0.25">
      <c r="A137" t="s">
        <v>397</v>
      </c>
      <c r="B137" t="s">
        <v>37</v>
      </c>
      <c r="C137" s="11">
        <v>45189.921550925923</v>
      </c>
      <c r="D137" s="11">
        <v>45189.932962962965</v>
      </c>
      <c r="E137" t="s">
        <v>33</v>
      </c>
      <c r="F137" t="s">
        <v>34</v>
      </c>
      <c r="G137" t="s">
        <v>33</v>
      </c>
      <c r="H137" t="s">
        <v>34</v>
      </c>
      <c r="I137">
        <v>41.886983000000001</v>
      </c>
      <c r="J137">
        <v>-87.612714999999994</v>
      </c>
      <c r="K137">
        <v>41.886508999999997</v>
      </c>
      <c r="L137">
        <v>-87.612949</v>
      </c>
      <c r="M137" t="s">
        <v>31</v>
      </c>
      <c r="N137" s="12">
        <v>1.1412037037037038E-2</v>
      </c>
      <c r="O137">
        <v>4</v>
      </c>
      <c r="P137" t="s">
        <v>557</v>
      </c>
    </row>
    <row r="138" spans="1:16" x14ac:dyDescent="0.25">
      <c r="A138" t="s">
        <v>403</v>
      </c>
      <c r="B138" t="s">
        <v>14</v>
      </c>
      <c r="C138" s="11">
        <v>45196.887199074074</v>
      </c>
      <c r="D138" s="11">
        <v>45196.894189814811</v>
      </c>
      <c r="E138" t="s">
        <v>66</v>
      </c>
      <c r="F138">
        <v>13042</v>
      </c>
      <c r="G138" t="s">
        <v>16</v>
      </c>
      <c r="H138">
        <v>13045</v>
      </c>
      <c r="I138">
        <v>41.901367999999998</v>
      </c>
      <c r="J138">
        <v>-87.623960999999994</v>
      </c>
      <c r="K138">
        <v>41.894080000000002</v>
      </c>
      <c r="L138">
        <v>-87.629135000000005</v>
      </c>
      <c r="M138" t="s">
        <v>31</v>
      </c>
      <c r="N138" s="12">
        <v>6.9907407407407409E-3</v>
      </c>
      <c r="O138">
        <v>4</v>
      </c>
      <c r="P138" t="s">
        <v>557</v>
      </c>
    </row>
    <row r="139" spans="1:16" x14ac:dyDescent="0.25">
      <c r="A139" t="s">
        <v>405</v>
      </c>
      <c r="B139" t="s">
        <v>37</v>
      </c>
      <c r="C139" s="11">
        <v>45197.780185185184</v>
      </c>
      <c r="D139" s="11">
        <v>45197.796458333331</v>
      </c>
      <c r="E139" t="s">
        <v>16</v>
      </c>
      <c r="F139">
        <v>13045</v>
      </c>
      <c r="G139" t="s">
        <v>23</v>
      </c>
      <c r="H139">
        <v>13011</v>
      </c>
      <c r="I139">
        <v>41.894105000000003</v>
      </c>
      <c r="J139">
        <v>-87.629180000000005</v>
      </c>
      <c r="K139">
        <v>41.878996999999998</v>
      </c>
      <c r="L139">
        <v>-87.639690000000002</v>
      </c>
      <c r="M139" t="s">
        <v>31</v>
      </c>
      <c r="N139" s="12">
        <v>1.6273148148148148E-2</v>
      </c>
      <c r="O139">
        <v>5</v>
      </c>
      <c r="P139" t="s">
        <v>558</v>
      </c>
    </row>
    <row r="140" spans="1:16" x14ac:dyDescent="0.25">
      <c r="A140" t="s">
        <v>406</v>
      </c>
      <c r="B140" t="s">
        <v>14</v>
      </c>
      <c r="C140" s="11">
        <v>45197.861493055556</v>
      </c>
      <c r="D140" s="11">
        <v>45197.88040509259</v>
      </c>
      <c r="E140" t="s">
        <v>16</v>
      </c>
      <c r="F140">
        <v>13045</v>
      </c>
      <c r="G140" t="s">
        <v>21</v>
      </c>
      <c r="H140">
        <v>21213</v>
      </c>
      <c r="I140">
        <v>41.894419999999997</v>
      </c>
      <c r="J140">
        <v>-87.629653000000005</v>
      </c>
      <c r="K140">
        <v>41.834235999999997</v>
      </c>
      <c r="L140">
        <v>-87.625328999999994</v>
      </c>
      <c r="M140" t="s">
        <v>31</v>
      </c>
      <c r="N140" s="12">
        <v>1.8912037037037036E-2</v>
      </c>
      <c r="O140">
        <v>5</v>
      </c>
      <c r="P140" t="s">
        <v>558</v>
      </c>
    </row>
    <row r="141" spans="1:16" x14ac:dyDescent="0.25">
      <c r="A141" t="s">
        <v>407</v>
      </c>
      <c r="B141" t="s">
        <v>14</v>
      </c>
      <c r="C141" s="11">
        <v>45200.048125000001</v>
      </c>
      <c r="D141" s="11">
        <v>45200.056076388886</v>
      </c>
      <c r="E141" t="s">
        <v>33</v>
      </c>
      <c r="F141" t="s">
        <v>34</v>
      </c>
      <c r="G141" t="s">
        <v>41</v>
      </c>
      <c r="H141" t="s">
        <v>42</v>
      </c>
      <c r="I141">
        <v>41.887360999999999</v>
      </c>
      <c r="J141">
        <v>-87.612573999999995</v>
      </c>
      <c r="K141">
        <v>41.902749999999997</v>
      </c>
      <c r="L141">
        <v>-87.631497999999993</v>
      </c>
      <c r="M141" t="s">
        <v>31</v>
      </c>
      <c r="N141" s="12">
        <v>7.951388888888888E-3</v>
      </c>
      <c r="O141">
        <v>1</v>
      </c>
      <c r="P141" t="s">
        <v>554</v>
      </c>
    </row>
    <row r="142" spans="1:16" x14ac:dyDescent="0.25">
      <c r="A142" t="s">
        <v>412</v>
      </c>
      <c r="B142" t="s">
        <v>26</v>
      </c>
      <c r="C142" s="11">
        <v>45201.530081018522</v>
      </c>
      <c r="D142" s="11">
        <v>45201.601064814815</v>
      </c>
      <c r="E142" t="s">
        <v>27</v>
      </c>
      <c r="F142" t="s">
        <v>28</v>
      </c>
      <c r="G142" t="s">
        <v>23</v>
      </c>
      <c r="H142">
        <v>13011</v>
      </c>
      <c r="I142">
        <v>41.889505999999997</v>
      </c>
      <c r="J142">
        <v>-87.638723999999996</v>
      </c>
      <c r="K142">
        <v>41.879627999999997</v>
      </c>
      <c r="L142">
        <v>-87.640291000000005</v>
      </c>
      <c r="M142" t="s">
        <v>31</v>
      </c>
      <c r="N142" s="12">
        <v>7.0983796296296295E-2</v>
      </c>
      <c r="O142">
        <v>2</v>
      </c>
      <c r="P142" t="s">
        <v>555</v>
      </c>
    </row>
    <row r="143" spans="1:16" x14ac:dyDescent="0.25">
      <c r="A143" t="s">
        <v>414</v>
      </c>
      <c r="B143" t="s">
        <v>14</v>
      </c>
      <c r="C143" s="11">
        <v>45204.185428240744</v>
      </c>
      <c r="D143" s="11">
        <v>45204.196238425924</v>
      </c>
      <c r="E143" t="s">
        <v>30</v>
      </c>
      <c r="F143">
        <v>13137</v>
      </c>
      <c r="G143" t="s">
        <v>24</v>
      </c>
      <c r="H143">
        <v>13263</v>
      </c>
      <c r="I143">
        <v>41.937091000000002</v>
      </c>
      <c r="J143">
        <v>-87.643600000000006</v>
      </c>
      <c r="K143">
        <v>41.884905000000003</v>
      </c>
      <c r="L143">
        <v>-87.619192999999996</v>
      </c>
      <c r="M143" t="s">
        <v>31</v>
      </c>
      <c r="N143" s="12">
        <v>1.0810185185185185E-2</v>
      </c>
      <c r="O143">
        <v>5</v>
      </c>
      <c r="P143" t="s">
        <v>558</v>
      </c>
    </row>
    <row r="144" spans="1:16" x14ac:dyDescent="0.25">
      <c r="A144" t="s">
        <v>417</v>
      </c>
      <c r="B144" t="s">
        <v>14</v>
      </c>
      <c r="C144" s="11">
        <v>45204.728275462963</v>
      </c>
      <c r="D144" s="11">
        <v>45204.73300925926</v>
      </c>
      <c r="E144" t="s">
        <v>47</v>
      </c>
      <c r="F144" t="s">
        <v>48</v>
      </c>
      <c r="G144" t="s">
        <v>47</v>
      </c>
      <c r="H144" t="s">
        <v>48</v>
      </c>
      <c r="I144">
        <v>41.882607</v>
      </c>
      <c r="J144">
        <v>-87.641446999999999</v>
      </c>
      <c r="K144">
        <v>41.881914000000002</v>
      </c>
      <c r="L144">
        <v>-87.641088999999994</v>
      </c>
      <c r="M144" t="s">
        <v>31</v>
      </c>
      <c r="N144" s="12">
        <v>4.7337962962962958E-3</v>
      </c>
      <c r="O144">
        <v>5</v>
      </c>
      <c r="P144" t="s">
        <v>558</v>
      </c>
    </row>
    <row r="145" spans="1:16" x14ac:dyDescent="0.25">
      <c r="A145" t="s">
        <v>418</v>
      </c>
      <c r="B145" t="s">
        <v>14</v>
      </c>
      <c r="C145" s="11">
        <v>45204.988263888888</v>
      </c>
      <c r="D145" s="11">
        <v>45204.994791666664</v>
      </c>
      <c r="E145" t="s">
        <v>47</v>
      </c>
      <c r="F145" t="s">
        <v>48</v>
      </c>
      <c r="G145" t="s">
        <v>16</v>
      </c>
      <c r="H145">
        <v>13045</v>
      </c>
      <c r="I145">
        <v>41.88252</v>
      </c>
      <c r="J145">
        <v>-87.641345999999999</v>
      </c>
      <c r="K145">
        <v>41.893656999999997</v>
      </c>
      <c r="L145">
        <v>-87.629412000000002</v>
      </c>
      <c r="M145" t="s">
        <v>31</v>
      </c>
      <c r="N145" s="12">
        <v>6.5277777777777782E-3</v>
      </c>
      <c r="O145">
        <v>5</v>
      </c>
      <c r="P145" t="s">
        <v>558</v>
      </c>
    </row>
    <row r="146" spans="1:16" x14ac:dyDescent="0.25">
      <c r="A146" t="s">
        <v>419</v>
      </c>
      <c r="B146" t="s">
        <v>14</v>
      </c>
      <c r="C146" s="11">
        <v>45205.373900462961</v>
      </c>
      <c r="D146" s="11">
        <v>45205.390879629631</v>
      </c>
      <c r="E146" t="s">
        <v>30</v>
      </c>
      <c r="F146">
        <v>13137</v>
      </c>
      <c r="G146" t="s">
        <v>30</v>
      </c>
      <c r="H146">
        <v>13137</v>
      </c>
      <c r="I146">
        <v>41.937958000000002</v>
      </c>
      <c r="J146">
        <v>-87.643815000000004</v>
      </c>
      <c r="K146">
        <v>41.937249999999999</v>
      </c>
      <c r="L146">
        <v>-87.644086000000001</v>
      </c>
      <c r="M146" t="s">
        <v>31</v>
      </c>
      <c r="N146" s="12">
        <v>1.6979166666666667E-2</v>
      </c>
      <c r="O146">
        <v>6</v>
      </c>
      <c r="P146" t="s">
        <v>559</v>
      </c>
    </row>
    <row r="147" spans="1:16" x14ac:dyDescent="0.25">
      <c r="A147" t="s">
        <v>420</v>
      </c>
      <c r="B147" t="s">
        <v>14</v>
      </c>
      <c r="C147" s="11">
        <v>45205.924120370371</v>
      </c>
      <c r="D147" s="11">
        <v>45205.956331018519</v>
      </c>
      <c r="E147" t="s">
        <v>24</v>
      </c>
      <c r="F147">
        <v>13263</v>
      </c>
      <c r="G147" t="s">
        <v>43</v>
      </c>
      <c r="H147" t="s">
        <v>44</v>
      </c>
      <c r="I147">
        <v>41.884556000000003</v>
      </c>
      <c r="J147">
        <v>-87.619390999999993</v>
      </c>
      <c r="K147">
        <v>41.903331999999999</v>
      </c>
      <c r="L147">
        <v>-87.634260999999995</v>
      </c>
      <c r="M147" t="s">
        <v>31</v>
      </c>
      <c r="N147" s="12">
        <v>3.2210648148148148E-2</v>
      </c>
      <c r="O147">
        <v>6</v>
      </c>
      <c r="P147" t="s">
        <v>559</v>
      </c>
    </row>
    <row r="148" spans="1:16" x14ac:dyDescent="0.25">
      <c r="A148" t="s">
        <v>422</v>
      </c>
      <c r="B148" t="s">
        <v>14</v>
      </c>
      <c r="C148" s="11">
        <v>45209.454502314817</v>
      </c>
      <c r="D148" s="11">
        <v>45209.466724537036</v>
      </c>
      <c r="E148" t="s">
        <v>19</v>
      </c>
      <c r="F148" t="s">
        <v>20</v>
      </c>
      <c r="G148" t="s">
        <v>41</v>
      </c>
      <c r="H148" t="s">
        <v>42</v>
      </c>
      <c r="I148">
        <v>41.926119</v>
      </c>
      <c r="J148">
        <v>-87.630595</v>
      </c>
      <c r="K148">
        <v>41.902695999999999</v>
      </c>
      <c r="L148">
        <v>-87.631138000000007</v>
      </c>
      <c r="M148" t="s">
        <v>31</v>
      </c>
      <c r="N148" s="12">
        <v>1.2222222222222223E-2</v>
      </c>
      <c r="O148">
        <v>3</v>
      </c>
      <c r="P148" t="s">
        <v>556</v>
      </c>
    </row>
    <row r="149" spans="1:16" x14ac:dyDescent="0.25">
      <c r="A149" t="s">
        <v>428</v>
      </c>
      <c r="B149" t="s">
        <v>14</v>
      </c>
      <c r="C149" s="11">
        <v>45215.244432870371</v>
      </c>
      <c r="D149" s="11">
        <v>45215.251481481479</v>
      </c>
      <c r="E149" t="s">
        <v>27</v>
      </c>
      <c r="F149" t="s">
        <v>28</v>
      </c>
      <c r="G149" t="s">
        <v>27</v>
      </c>
      <c r="H149" t="s">
        <v>28</v>
      </c>
      <c r="I149">
        <v>41.889276000000002</v>
      </c>
      <c r="J149">
        <v>-87.638910999999993</v>
      </c>
      <c r="K149">
        <v>41.889052999999997</v>
      </c>
      <c r="L149">
        <v>-87.638456000000005</v>
      </c>
      <c r="M149" t="s">
        <v>31</v>
      </c>
      <c r="N149" s="12">
        <v>7.0486111111111105E-3</v>
      </c>
      <c r="O149">
        <v>2</v>
      </c>
      <c r="P149" t="s">
        <v>555</v>
      </c>
    </row>
    <row r="150" spans="1:16" x14ac:dyDescent="0.25">
      <c r="A150" t="s">
        <v>433</v>
      </c>
      <c r="B150" t="s">
        <v>37</v>
      </c>
      <c r="C150" s="11">
        <v>45219.886134259257</v>
      </c>
      <c r="D150" s="11">
        <v>45219.901250000003</v>
      </c>
      <c r="E150" t="s">
        <v>24</v>
      </c>
      <c r="F150">
        <v>13263</v>
      </c>
      <c r="G150" t="s">
        <v>47</v>
      </c>
      <c r="H150" t="s">
        <v>48</v>
      </c>
      <c r="I150">
        <v>41.884799999999998</v>
      </c>
      <c r="J150">
        <v>-87.619215999999994</v>
      </c>
      <c r="K150">
        <v>41.882502000000002</v>
      </c>
      <c r="L150">
        <v>-87.641412000000003</v>
      </c>
      <c r="M150" t="s">
        <v>31</v>
      </c>
      <c r="N150" s="12">
        <v>1.511574074074074E-2</v>
      </c>
      <c r="O150">
        <v>6</v>
      </c>
      <c r="P150" t="s">
        <v>559</v>
      </c>
    </row>
    <row r="151" spans="1:16" x14ac:dyDescent="0.25">
      <c r="A151" t="s">
        <v>434</v>
      </c>
      <c r="B151" t="s">
        <v>14</v>
      </c>
      <c r="C151" s="11">
        <v>45220.057928240742</v>
      </c>
      <c r="D151" s="11">
        <v>45220.062719907408</v>
      </c>
      <c r="E151" t="s">
        <v>66</v>
      </c>
      <c r="F151">
        <v>13042</v>
      </c>
      <c r="G151" t="s">
        <v>41</v>
      </c>
      <c r="H151" t="s">
        <v>42</v>
      </c>
      <c r="I151">
        <v>41.900548999999998</v>
      </c>
      <c r="J151">
        <v>-87.624173999999996</v>
      </c>
      <c r="K151">
        <v>41.903058000000001</v>
      </c>
      <c r="L151">
        <v>-87.631091999999995</v>
      </c>
      <c r="M151" t="s">
        <v>31</v>
      </c>
      <c r="N151" s="12">
        <v>4.7916666666666672E-3</v>
      </c>
      <c r="O151">
        <v>7</v>
      </c>
      <c r="P151" t="s">
        <v>560</v>
      </c>
    </row>
    <row r="152" spans="1:16" x14ac:dyDescent="0.25">
      <c r="A152" t="s">
        <v>437</v>
      </c>
      <c r="B152" t="s">
        <v>14</v>
      </c>
      <c r="C152" s="11">
        <v>45222.300682870373</v>
      </c>
      <c r="D152" s="11">
        <v>45222.313101851854</v>
      </c>
      <c r="E152" t="s">
        <v>41</v>
      </c>
      <c r="F152" t="s">
        <v>42</v>
      </c>
      <c r="G152" t="s">
        <v>30</v>
      </c>
      <c r="H152">
        <v>13137</v>
      </c>
      <c r="I152">
        <v>41.903260000000003</v>
      </c>
      <c r="J152">
        <v>-87.631369000000007</v>
      </c>
      <c r="K152">
        <v>41.937956</v>
      </c>
      <c r="L152">
        <v>-87.643960000000007</v>
      </c>
      <c r="M152" t="s">
        <v>31</v>
      </c>
      <c r="N152" s="12">
        <v>1.2418981481481482E-2</v>
      </c>
      <c r="O152">
        <v>2</v>
      </c>
      <c r="P152" t="s">
        <v>555</v>
      </c>
    </row>
    <row r="153" spans="1:16" x14ac:dyDescent="0.25">
      <c r="A153" t="s">
        <v>438</v>
      </c>
      <c r="B153" t="s">
        <v>37</v>
      </c>
      <c r="C153" s="11">
        <v>45222.497164351851</v>
      </c>
      <c r="D153" s="11">
        <v>45222.504224537035</v>
      </c>
      <c r="E153" t="s">
        <v>24</v>
      </c>
      <c r="F153">
        <v>13263</v>
      </c>
      <c r="G153" t="s">
        <v>47</v>
      </c>
      <c r="H153" t="s">
        <v>48</v>
      </c>
      <c r="I153">
        <v>41.884461000000002</v>
      </c>
      <c r="J153">
        <v>-87.619890999999996</v>
      </c>
      <c r="K153">
        <v>41.881998000000003</v>
      </c>
      <c r="L153">
        <v>-87.641210999999998</v>
      </c>
      <c r="M153" t="s">
        <v>31</v>
      </c>
      <c r="N153" s="12">
        <v>7.0601851851851841E-3</v>
      </c>
      <c r="O153">
        <v>2</v>
      </c>
      <c r="P153" t="s">
        <v>555</v>
      </c>
    </row>
    <row r="154" spans="1:16" x14ac:dyDescent="0.25">
      <c r="A154" t="s">
        <v>445</v>
      </c>
      <c r="B154" t="s">
        <v>14</v>
      </c>
      <c r="C154" s="11">
        <v>45229.825219907405</v>
      </c>
      <c r="D154" s="11">
        <v>45229.835648148146</v>
      </c>
      <c r="E154" t="s">
        <v>66</v>
      </c>
      <c r="F154">
        <v>13042</v>
      </c>
      <c r="G154" t="s">
        <v>23</v>
      </c>
      <c r="H154">
        <v>13011</v>
      </c>
      <c r="I154">
        <v>41.901291000000001</v>
      </c>
      <c r="J154">
        <v>-87.623931999999996</v>
      </c>
      <c r="K154">
        <v>41.879528999999998</v>
      </c>
      <c r="L154">
        <v>-87.640040999999997</v>
      </c>
      <c r="M154" t="s">
        <v>31</v>
      </c>
      <c r="N154" s="12">
        <v>1.042824074074074E-2</v>
      </c>
      <c r="O154">
        <v>2</v>
      </c>
      <c r="P154" t="s">
        <v>555</v>
      </c>
    </row>
    <row r="155" spans="1:16" x14ac:dyDescent="0.25">
      <c r="A155" t="s">
        <v>448</v>
      </c>
      <c r="B155" t="s">
        <v>14</v>
      </c>
      <c r="C155" s="11">
        <v>45231.997407407405</v>
      </c>
      <c r="D155" s="11">
        <v>45232.052199074074</v>
      </c>
      <c r="E155" t="s">
        <v>35</v>
      </c>
      <c r="F155">
        <v>13022</v>
      </c>
      <c r="G155" t="s">
        <v>35</v>
      </c>
      <c r="H155">
        <v>13022</v>
      </c>
      <c r="I155">
        <v>41.892319999999998</v>
      </c>
      <c r="J155">
        <v>-87.611670000000004</v>
      </c>
      <c r="K155">
        <v>41.892510000000001</v>
      </c>
      <c r="L155">
        <v>-87.611735999999993</v>
      </c>
      <c r="M155" t="s">
        <v>31</v>
      </c>
      <c r="N155" s="12">
        <v>5.4791666666666662E-2</v>
      </c>
      <c r="O155">
        <v>4</v>
      </c>
      <c r="P155" t="s">
        <v>557</v>
      </c>
    </row>
    <row r="156" spans="1:16" x14ac:dyDescent="0.25">
      <c r="A156" t="s">
        <v>450</v>
      </c>
      <c r="B156" t="s">
        <v>14</v>
      </c>
      <c r="C156" s="11">
        <v>45232.518750000003</v>
      </c>
      <c r="D156" s="11">
        <v>45232.536157407405</v>
      </c>
      <c r="E156" t="s">
        <v>24</v>
      </c>
      <c r="F156">
        <v>13263</v>
      </c>
      <c r="G156" t="s">
        <v>43</v>
      </c>
      <c r="H156" t="s">
        <v>44</v>
      </c>
      <c r="I156">
        <v>41.884818000000003</v>
      </c>
      <c r="J156">
        <v>-87.619540999999998</v>
      </c>
      <c r="K156">
        <v>41.903143</v>
      </c>
      <c r="L156">
        <v>-87.634039000000001</v>
      </c>
      <c r="M156" t="s">
        <v>31</v>
      </c>
      <c r="N156" s="12">
        <v>1.7407407407407406E-2</v>
      </c>
      <c r="O156">
        <v>5</v>
      </c>
      <c r="P156" t="s">
        <v>558</v>
      </c>
    </row>
    <row r="157" spans="1:16" x14ac:dyDescent="0.25">
      <c r="A157" t="s">
        <v>451</v>
      </c>
      <c r="B157" t="s">
        <v>37</v>
      </c>
      <c r="C157" s="11">
        <v>45232.773472222223</v>
      </c>
      <c r="D157" s="11">
        <v>45232.779895833337</v>
      </c>
      <c r="E157" t="s">
        <v>16</v>
      </c>
      <c r="F157">
        <v>13045</v>
      </c>
      <c r="G157" t="s">
        <v>16</v>
      </c>
      <c r="H157">
        <v>13045</v>
      </c>
      <c r="I157">
        <v>41.894423000000003</v>
      </c>
      <c r="J157">
        <v>-87.629157000000006</v>
      </c>
      <c r="K157">
        <v>41.894238000000001</v>
      </c>
      <c r="L157">
        <v>-87.629506000000006</v>
      </c>
      <c r="M157" t="s">
        <v>31</v>
      </c>
      <c r="N157" s="12">
        <v>6.4236111111111117E-3</v>
      </c>
      <c r="O157">
        <v>5</v>
      </c>
      <c r="P157" t="s">
        <v>558</v>
      </c>
    </row>
    <row r="158" spans="1:16" x14ac:dyDescent="0.25">
      <c r="A158" t="s">
        <v>452</v>
      </c>
      <c r="B158" t="s">
        <v>26</v>
      </c>
      <c r="C158" s="11">
        <v>45233.371701388889</v>
      </c>
      <c r="D158" s="11">
        <v>45233.395474537036</v>
      </c>
      <c r="E158" t="s">
        <v>24</v>
      </c>
      <c r="F158">
        <v>13263</v>
      </c>
      <c r="G158" t="s">
        <v>35</v>
      </c>
      <c r="H158">
        <v>13022</v>
      </c>
      <c r="I158">
        <v>41.884421000000003</v>
      </c>
      <c r="J158">
        <v>-87.619550000000004</v>
      </c>
      <c r="K158">
        <v>41.892251000000002</v>
      </c>
      <c r="L158">
        <v>-87.612165000000005</v>
      </c>
      <c r="M158" t="s">
        <v>31</v>
      </c>
      <c r="N158" s="12">
        <v>2.3773148148148151E-2</v>
      </c>
      <c r="O158">
        <v>6</v>
      </c>
      <c r="P158" t="s">
        <v>559</v>
      </c>
    </row>
    <row r="159" spans="1:16" x14ac:dyDescent="0.25">
      <c r="A159" t="s">
        <v>456</v>
      </c>
      <c r="B159" t="s">
        <v>14</v>
      </c>
      <c r="C159" s="11">
        <v>45239.211585648147</v>
      </c>
      <c r="D159" s="11">
        <v>45239.219166666669</v>
      </c>
      <c r="E159" t="s">
        <v>15</v>
      </c>
      <c r="F159">
        <v>13008</v>
      </c>
      <c r="G159" t="s">
        <v>19</v>
      </c>
      <c r="H159" t="s">
        <v>20</v>
      </c>
      <c r="I159">
        <v>41.881338</v>
      </c>
      <c r="J159">
        <v>-87.624033999999995</v>
      </c>
      <c r="K159">
        <v>41.925820000000002</v>
      </c>
      <c r="L159">
        <v>-87.630701000000002</v>
      </c>
      <c r="M159" t="s">
        <v>31</v>
      </c>
      <c r="N159" s="12">
        <v>7.5810185185185182E-3</v>
      </c>
      <c r="O159">
        <v>5</v>
      </c>
      <c r="P159" t="s">
        <v>558</v>
      </c>
    </row>
    <row r="160" spans="1:16" x14ac:dyDescent="0.25">
      <c r="A160" t="s">
        <v>458</v>
      </c>
      <c r="B160" t="s">
        <v>37</v>
      </c>
      <c r="C160" s="11">
        <v>45239.954409722224</v>
      </c>
      <c r="D160" s="11">
        <v>45239.96466435185</v>
      </c>
      <c r="E160" t="s">
        <v>41</v>
      </c>
      <c r="F160" t="s">
        <v>42</v>
      </c>
      <c r="G160" t="s">
        <v>24</v>
      </c>
      <c r="H160">
        <v>13263</v>
      </c>
      <c r="I160">
        <v>41.902858000000002</v>
      </c>
      <c r="J160">
        <v>-87.631291000000004</v>
      </c>
      <c r="K160">
        <v>41.884658000000002</v>
      </c>
      <c r="L160">
        <v>-87.619280000000003</v>
      </c>
      <c r="M160" t="s">
        <v>31</v>
      </c>
      <c r="N160" s="12">
        <v>1.0254629629629629E-2</v>
      </c>
      <c r="O160">
        <v>5</v>
      </c>
      <c r="P160" t="s">
        <v>558</v>
      </c>
    </row>
    <row r="161" spans="1:16" x14ac:dyDescent="0.25">
      <c r="A161" t="s">
        <v>465</v>
      </c>
      <c r="B161" t="s">
        <v>37</v>
      </c>
      <c r="C161" s="11">
        <v>45245.779652777775</v>
      </c>
      <c r="D161" s="11">
        <v>45245.810497685183</v>
      </c>
      <c r="E161" t="s">
        <v>66</v>
      </c>
      <c r="F161">
        <v>13042</v>
      </c>
      <c r="G161" t="s">
        <v>15</v>
      </c>
      <c r="H161">
        <v>13008</v>
      </c>
      <c r="I161">
        <v>41.901401</v>
      </c>
      <c r="J161">
        <v>-87.623654000000002</v>
      </c>
      <c r="K161">
        <v>41.881273999999998</v>
      </c>
      <c r="L161">
        <v>-87.623778999999999</v>
      </c>
      <c r="M161" t="s">
        <v>31</v>
      </c>
      <c r="N161" s="12">
        <v>3.0844907407407404E-2</v>
      </c>
      <c r="O161">
        <v>4</v>
      </c>
      <c r="P161" t="s">
        <v>557</v>
      </c>
    </row>
    <row r="162" spans="1:16" x14ac:dyDescent="0.25">
      <c r="A162" t="s">
        <v>466</v>
      </c>
      <c r="B162" t="s">
        <v>37</v>
      </c>
      <c r="C162" s="11">
        <v>45246.269687499997</v>
      </c>
      <c r="D162" s="11">
        <v>45246.28020833333</v>
      </c>
      <c r="E162" t="s">
        <v>30</v>
      </c>
      <c r="F162">
        <v>13137</v>
      </c>
      <c r="G162" t="s">
        <v>33</v>
      </c>
      <c r="H162" t="s">
        <v>34</v>
      </c>
      <c r="I162">
        <v>41.937949000000003</v>
      </c>
      <c r="J162">
        <v>-87.644003999999995</v>
      </c>
      <c r="K162">
        <v>41.886603000000001</v>
      </c>
      <c r="L162">
        <v>-87.612885000000006</v>
      </c>
      <c r="M162" t="s">
        <v>31</v>
      </c>
      <c r="N162" s="12">
        <v>1.0520833333333333E-2</v>
      </c>
      <c r="O162">
        <v>5</v>
      </c>
      <c r="P162" t="s">
        <v>558</v>
      </c>
    </row>
    <row r="163" spans="1:16" x14ac:dyDescent="0.25">
      <c r="A163" t="s">
        <v>469</v>
      </c>
      <c r="B163" t="s">
        <v>26</v>
      </c>
      <c r="C163" s="11">
        <v>45249.863819444443</v>
      </c>
      <c r="D163" s="11">
        <v>45249.888506944444</v>
      </c>
      <c r="E163" t="s">
        <v>24</v>
      </c>
      <c r="F163">
        <v>13263</v>
      </c>
      <c r="G163" t="s">
        <v>24</v>
      </c>
      <c r="H163">
        <v>13263</v>
      </c>
      <c r="I163">
        <v>41.884931000000002</v>
      </c>
      <c r="J163">
        <v>-87.619999000000007</v>
      </c>
      <c r="K163">
        <v>41.884858999999999</v>
      </c>
      <c r="L163">
        <v>-87.619856999999996</v>
      </c>
      <c r="M163" t="s">
        <v>31</v>
      </c>
      <c r="N163" s="12">
        <v>2.4687499999999998E-2</v>
      </c>
      <c r="O163">
        <v>1</v>
      </c>
      <c r="P163" t="s">
        <v>554</v>
      </c>
    </row>
    <row r="164" spans="1:16" x14ac:dyDescent="0.25">
      <c r="A164" t="s">
        <v>472</v>
      </c>
      <c r="B164" t="s">
        <v>14</v>
      </c>
      <c r="C164" s="11">
        <v>45250.521226851852</v>
      </c>
      <c r="D164" s="11">
        <v>45250.536527777775</v>
      </c>
      <c r="E164" t="s">
        <v>27</v>
      </c>
      <c r="F164" t="s">
        <v>28</v>
      </c>
      <c r="G164" t="s">
        <v>30</v>
      </c>
      <c r="H164">
        <v>13137</v>
      </c>
      <c r="I164">
        <v>41.888725000000001</v>
      </c>
      <c r="J164">
        <v>-87.638278999999997</v>
      </c>
      <c r="K164">
        <v>41.937855999999996</v>
      </c>
      <c r="L164">
        <v>-87.644244999999998</v>
      </c>
      <c r="M164" t="s">
        <v>31</v>
      </c>
      <c r="N164" s="12">
        <v>1.5300925925925926E-2</v>
      </c>
      <c r="O164">
        <v>2</v>
      </c>
      <c r="P164" t="s">
        <v>555</v>
      </c>
    </row>
    <row r="165" spans="1:16" x14ac:dyDescent="0.25">
      <c r="A165" t="s">
        <v>473</v>
      </c>
      <c r="B165" t="s">
        <v>14</v>
      </c>
      <c r="C165" s="11">
        <v>45251.946909722225</v>
      </c>
      <c r="D165" s="11">
        <v>45251.967858796299</v>
      </c>
      <c r="E165" t="s">
        <v>27</v>
      </c>
      <c r="F165" t="s">
        <v>28</v>
      </c>
      <c r="G165" t="s">
        <v>27</v>
      </c>
      <c r="H165" t="s">
        <v>28</v>
      </c>
      <c r="I165">
        <v>41.889512000000003</v>
      </c>
      <c r="J165">
        <v>-87.638684999999995</v>
      </c>
      <c r="K165">
        <v>41.888863999999998</v>
      </c>
      <c r="L165">
        <v>-87.638964999999999</v>
      </c>
      <c r="M165" t="s">
        <v>31</v>
      </c>
      <c r="N165" s="12">
        <v>2.0949074074074075E-2</v>
      </c>
      <c r="O165">
        <v>3</v>
      </c>
      <c r="P165" t="s">
        <v>556</v>
      </c>
    </row>
    <row r="166" spans="1:16" x14ac:dyDescent="0.25">
      <c r="A166" t="s">
        <v>478</v>
      </c>
      <c r="B166" t="s">
        <v>14</v>
      </c>
      <c r="C166" s="11">
        <v>45253.748541666668</v>
      </c>
      <c r="D166" s="11">
        <v>45253.765474537038</v>
      </c>
      <c r="E166" t="s">
        <v>47</v>
      </c>
      <c r="F166" t="s">
        <v>48</v>
      </c>
      <c r="G166" t="s">
        <v>23</v>
      </c>
      <c r="H166">
        <v>13011</v>
      </c>
      <c r="I166">
        <v>41.882465000000003</v>
      </c>
      <c r="J166">
        <v>-87.641497999999999</v>
      </c>
      <c r="K166">
        <v>41.879463000000001</v>
      </c>
      <c r="L166">
        <v>-87.639859999999999</v>
      </c>
      <c r="M166" t="s">
        <v>31</v>
      </c>
      <c r="N166" s="12">
        <v>1.6932870370370369E-2</v>
      </c>
      <c r="O166">
        <v>5</v>
      </c>
      <c r="P166" t="s">
        <v>558</v>
      </c>
    </row>
    <row r="167" spans="1:16" x14ac:dyDescent="0.25">
      <c r="A167" t="s">
        <v>481</v>
      </c>
      <c r="B167" t="s">
        <v>37</v>
      </c>
      <c r="C167" s="11">
        <v>45256.055856481478</v>
      </c>
      <c r="D167" s="11">
        <v>45256.065289351849</v>
      </c>
      <c r="E167" t="s">
        <v>66</v>
      </c>
      <c r="F167">
        <v>13042</v>
      </c>
      <c r="G167" t="s">
        <v>57</v>
      </c>
      <c r="H167" t="s">
        <v>58</v>
      </c>
      <c r="I167">
        <v>41.901327000000002</v>
      </c>
      <c r="J167">
        <v>-87.623321000000004</v>
      </c>
      <c r="K167">
        <v>41.91187</v>
      </c>
      <c r="L167">
        <v>-87.634272999999993</v>
      </c>
      <c r="M167" t="s">
        <v>31</v>
      </c>
      <c r="N167" s="12">
        <v>9.432870370370371E-3</v>
      </c>
      <c r="O167">
        <v>1</v>
      </c>
      <c r="P167" t="s">
        <v>554</v>
      </c>
    </row>
    <row r="168" spans="1:16" x14ac:dyDescent="0.25">
      <c r="A168" t="s">
        <v>482</v>
      </c>
      <c r="B168" t="s">
        <v>14</v>
      </c>
      <c r="C168" s="11">
        <v>45258.310300925928</v>
      </c>
      <c r="D168" s="11">
        <v>45258.320335648146</v>
      </c>
      <c r="E168" t="s">
        <v>66</v>
      </c>
      <c r="F168">
        <v>13042</v>
      </c>
      <c r="G168" t="s">
        <v>66</v>
      </c>
      <c r="H168">
        <v>13042</v>
      </c>
      <c r="I168">
        <v>41.900464999999997</v>
      </c>
      <c r="J168">
        <v>-87.623831999999993</v>
      </c>
      <c r="K168">
        <v>41.900543999999996</v>
      </c>
      <c r="L168">
        <v>-87.623593999999997</v>
      </c>
      <c r="M168" t="s">
        <v>31</v>
      </c>
      <c r="N168" s="12">
        <v>1.0034722222222221E-2</v>
      </c>
      <c r="O168">
        <v>3</v>
      </c>
      <c r="P168" t="s">
        <v>556</v>
      </c>
    </row>
    <row r="169" spans="1:16" x14ac:dyDescent="0.25">
      <c r="A169" t="s">
        <v>483</v>
      </c>
      <c r="B169" t="s">
        <v>14</v>
      </c>
      <c r="C169" s="11">
        <v>45258.514270833337</v>
      </c>
      <c r="D169" s="11">
        <v>45258.534548611111</v>
      </c>
      <c r="E169" t="s">
        <v>43</v>
      </c>
      <c r="F169" t="s">
        <v>44</v>
      </c>
      <c r="G169" t="s">
        <v>66</v>
      </c>
      <c r="H169">
        <v>13042</v>
      </c>
      <c r="I169">
        <v>41.903343999999997</v>
      </c>
      <c r="J169">
        <v>-87.633889999999994</v>
      </c>
      <c r="K169">
        <v>41.900666999999999</v>
      </c>
      <c r="L169">
        <v>-87.623542</v>
      </c>
      <c r="M169" t="s">
        <v>31</v>
      </c>
      <c r="N169" s="12">
        <v>2.0277777777777777E-2</v>
      </c>
      <c r="O169">
        <v>3</v>
      </c>
      <c r="P169" t="s">
        <v>556</v>
      </c>
    </row>
    <row r="170" spans="1:16" x14ac:dyDescent="0.25">
      <c r="A170" t="s">
        <v>484</v>
      </c>
      <c r="B170" t="s">
        <v>37</v>
      </c>
      <c r="C170" s="11">
        <v>45258.752141203702</v>
      </c>
      <c r="D170" s="11">
        <v>45258.769548611112</v>
      </c>
      <c r="E170" t="s">
        <v>57</v>
      </c>
      <c r="F170" t="s">
        <v>58</v>
      </c>
      <c r="G170" t="s">
        <v>57</v>
      </c>
      <c r="H170" t="s">
        <v>58</v>
      </c>
      <c r="I170">
        <v>41.911759000000004</v>
      </c>
      <c r="J170">
        <v>-87.634625999999997</v>
      </c>
      <c r="K170">
        <v>41.911901999999998</v>
      </c>
      <c r="L170">
        <v>-87.635135000000005</v>
      </c>
      <c r="M170" t="s">
        <v>31</v>
      </c>
      <c r="N170" s="12">
        <v>1.7407407407407406E-2</v>
      </c>
      <c r="O170">
        <v>3</v>
      </c>
      <c r="P170" t="s">
        <v>556</v>
      </c>
    </row>
    <row r="171" spans="1:16" x14ac:dyDescent="0.25">
      <c r="A171" t="s">
        <v>487</v>
      </c>
      <c r="B171" t="s">
        <v>14</v>
      </c>
      <c r="C171" s="11">
        <v>45259.306828703702</v>
      </c>
      <c r="D171" s="11">
        <v>45259.318379629629</v>
      </c>
      <c r="E171" t="s">
        <v>33</v>
      </c>
      <c r="F171" t="s">
        <v>34</v>
      </c>
      <c r="G171" t="s">
        <v>43</v>
      </c>
      <c r="H171" t="s">
        <v>44</v>
      </c>
      <c r="I171">
        <v>41.887121999999998</v>
      </c>
      <c r="J171">
        <v>-87.612425000000002</v>
      </c>
      <c r="K171">
        <v>41.903320999999998</v>
      </c>
      <c r="L171">
        <v>-87.634321999999997</v>
      </c>
      <c r="M171" t="s">
        <v>31</v>
      </c>
      <c r="N171" s="12">
        <v>1.1550925925925925E-2</v>
      </c>
      <c r="O171">
        <v>4</v>
      </c>
      <c r="P171" t="s">
        <v>557</v>
      </c>
    </row>
    <row r="172" spans="1:16" x14ac:dyDescent="0.25">
      <c r="A172" t="s">
        <v>496</v>
      </c>
      <c r="B172" t="s">
        <v>37</v>
      </c>
      <c r="C172" s="11">
        <v>45265.261921296296</v>
      </c>
      <c r="D172" s="11">
        <v>45265.283993055556</v>
      </c>
      <c r="E172" t="s">
        <v>19</v>
      </c>
      <c r="F172" t="s">
        <v>20</v>
      </c>
      <c r="G172" t="s">
        <v>23</v>
      </c>
      <c r="H172">
        <v>13011</v>
      </c>
      <c r="I172">
        <v>41.926248000000001</v>
      </c>
      <c r="J172">
        <v>-87.630354999999994</v>
      </c>
      <c r="K172">
        <v>41.879389000000003</v>
      </c>
      <c r="L172">
        <v>-87.640277999999995</v>
      </c>
      <c r="M172" t="s">
        <v>31</v>
      </c>
      <c r="N172" s="12">
        <v>2.207175925925926E-2</v>
      </c>
      <c r="O172">
        <v>3</v>
      </c>
      <c r="P172" t="s">
        <v>556</v>
      </c>
    </row>
    <row r="173" spans="1:16" x14ac:dyDescent="0.25">
      <c r="A173" t="s">
        <v>497</v>
      </c>
      <c r="B173" t="s">
        <v>14</v>
      </c>
      <c r="C173" s="11">
        <v>45265.46671296296</v>
      </c>
      <c r="D173" s="11">
        <v>45265.491770833331</v>
      </c>
      <c r="E173" t="s">
        <v>30</v>
      </c>
      <c r="F173">
        <v>13137</v>
      </c>
      <c r="G173" t="s">
        <v>30</v>
      </c>
      <c r="H173">
        <v>13137</v>
      </c>
      <c r="I173">
        <v>41.937882000000002</v>
      </c>
      <c r="J173">
        <v>-87.644045000000006</v>
      </c>
      <c r="K173">
        <v>41.937479000000003</v>
      </c>
      <c r="L173">
        <v>-87.644465999999994</v>
      </c>
      <c r="M173" t="s">
        <v>31</v>
      </c>
      <c r="N173" s="12">
        <v>2.5057870370370373E-2</v>
      </c>
      <c r="O173">
        <v>3</v>
      </c>
      <c r="P173" t="s">
        <v>556</v>
      </c>
    </row>
    <row r="174" spans="1:16" x14ac:dyDescent="0.25">
      <c r="A174" t="s">
        <v>501</v>
      </c>
      <c r="B174" t="s">
        <v>37</v>
      </c>
      <c r="C174" s="11">
        <v>45268.990011574075</v>
      </c>
      <c r="D174" s="11">
        <v>45268.994756944441</v>
      </c>
      <c r="E174" t="s">
        <v>19</v>
      </c>
      <c r="F174" t="s">
        <v>20</v>
      </c>
      <c r="G174" t="s">
        <v>19</v>
      </c>
      <c r="H174" t="s">
        <v>20</v>
      </c>
      <c r="I174">
        <v>41.92606</v>
      </c>
      <c r="J174">
        <v>-87.630915000000002</v>
      </c>
      <c r="K174">
        <v>41.926070000000003</v>
      </c>
      <c r="L174">
        <v>-87.631001999999995</v>
      </c>
      <c r="M174" t="s">
        <v>31</v>
      </c>
      <c r="N174" s="12">
        <v>4.7453703703703703E-3</v>
      </c>
      <c r="O174">
        <v>6</v>
      </c>
      <c r="P174" t="s">
        <v>559</v>
      </c>
    </row>
    <row r="175" spans="1:16" x14ac:dyDescent="0.25">
      <c r="A175" t="s">
        <v>503</v>
      </c>
      <c r="B175" t="s">
        <v>14</v>
      </c>
      <c r="C175" s="11">
        <v>45269.990300925929</v>
      </c>
      <c r="D175" s="11">
        <v>45270.000381944446</v>
      </c>
      <c r="E175" t="s">
        <v>47</v>
      </c>
      <c r="F175" t="s">
        <v>48</v>
      </c>
      <c r="G175" t="s">
        <v>47</v>
      </c>
      <c r="H175" t="s">
        <v>48</v>
      </c>
      <c r="I175">
        <v>41.881799999999998</v>
      </c>
      <c r="J175">
        <v>-87.641223999999994</v>
      </c>
      <c r="K175">
        <v>41.882012000000003</v>
      </c>
      <c r="L175">
        <v>-87.640600000000006</v>
      </c>
      <c r="M175" t="s">
        <v>31</v>
      </c>
      <c r="N175" s="12">
        <v>1.0081018518518519E-2</v>
      </c>
      <c r="O175">
        <v>7</v>
      </c>
      <c r="P175" t="s">
        <v>560</v>
      </c>
    </row>
    <row r="176" spans="1:16" x14ac:dyDescent="0.25">
      <c r="A176" t="s">
        <v>504</v>
      </c>
      <c r="B176" t="s">
        <v>37</v>
      </c>
      <c r="C176" s="11">
        <v>45270.164398148147</v>
      </c>
      <c r="D176" s="11">
        <v>45270.174386574072</v>
      </c>
      <c r="E176" t="s">
        <v>30</v>
      </c>
      <c r="F176">
        <v>13137</v>
      </c>
      <c r="G176" t="s">
        <v>33</v>
      </c>
      <c r="H176" t="s">
        <v>34</v>
      </c>
      <c r="I176">
        <v>41.937818999999998</v>
      </c>
      <c r="J176">
        <v>-87.643623000000005</v>
      </c>
      <c r="K176">
        <v>41.886527999999998</v>
      </c>
      <c r="L176">
        <v>-87.612630999999993</v>
      </c>
      <c r="M176" t="s">
        <v>31</v>
      </c>
      <c r="N176" s="12">
        <v>9.9884259259259266E-3</v>
      </c>
      <c r="O176">
        <v>1</v>
      </c>
      <c r="P176" t="s">
        <v>554</v>
      </c>
    </row>
    <row r="177" spans="1:16" x14ac:dyDescent="0.25">
      <c r="A177" t="s">
        <v>506</v>
      </c>
      <c r="B177" t="s">
        <v>14</v>
      </c>
      <c r="C177" s="11">
        <v>45273.317094907405</v>
      </c>
      <c r="D177" s="11">
        <v>45273.346215277779</v>
      </c>
      <c r="E177" t="s">
        <v>35</v>
      </c>
      <c r="F177">
        <v>13022</v>
      </c>
      <c r="G177" t="s">
        <v>16</v>
      </c>
      <c r="H177">
        <v>13045</v>
      </c>
      <c r="I177">
        <v>41.891916999999999</v>
      </c>
      <c r="J177">
        <v>-87.612022999999994</v>
      </c>
      <c r="K177">
        <v>41.893529000000001</v>
      </c>
      <c r="L177">
        <v>-87.629737000000006</v>
      </c>
      <c r="M177" t="s">
        <v>31</v>
      </c>
      <c r="N177" s="12">
        <v>2.9120370370370366E-2</v>
      </c>
      <c r="O177">
        <v>4</v>
      </c>
      <c r="P177" t="s">
        <v>557</v>
      </c>
    </row>
    <row r="178" spans="1:16" x14ac:dyDescent="0.25">
      <c r="A178" t="s">
        <v>507</v>
      </c>
      <c r="B178" t="s">
        <v>37</v>
      </c>
      <c r="C178" s="11">
        <v>45274.465231481481</v>
      </c>
      <c r="D178" s="11">
        <v>45274.477592592593</v>
      </c>
      <c r="E178" t="s">
        <v>43</v>
      </c>
      <c r="F178" t="s">
        <v>44</v>
      </c>
      <c r="G178" t="s">
        <v>19</v>
      </c>
      <c r="H178" t="s">
        <v>20</v>
      </c>
      <c r="I178">
        <v>41.903157999999998</v>
      </c>
      <c r="J178">
        <v>-87.634022000000002</v>
      </c>
      <c r="K178">
        <v>41.926755</v>
      </c>
      <c r="L178">
        <v>-87.630778000000007</v>
      </c>
      <c r="M178" t="s">
        <v>31</v>
      </c>
      <c r="N178" s="12">
        <v>1.2361111111111113E-2</v>
      </c>
      <c r="O178">
        <v>5</v>
      </c>
      <c r="P178" t="s">
        <v>558</v>
      </c>
    </row>
    <row r="179" spans="1:16" x14ac:dyDescent="0.25">
      <c r="A179" t="s">
        <v>514</v>
      </c>
      <c r="B179" t="s">
        <v>37</v>
      </c>
      <c r="C179" s="11">
        <v>45283.706099537034</v>
      </c>
      <c r="D179" s="11">
        <v>45283.738194444442</v>
      </c>
      <c r="E179" t="s">
        <v>43</v>
      </c>
      <c r="F179" t="s">
        <v>44</v>
      </c>
      <c r="G179" t="s">
        <v>21</v>
      </c>
      <c r="H179">
        <v>21213</v>
      </c>
      <c r="I179">
        <v>41.903722000000002</v>
      </c>
      <c r="J179">
        <v>-87.634417999999997</v>
      </c>
      <c r="K179">
        <v>41.834454000000001</v>
      </c>
      <c r="L179">
        <v>-87.625551000000002</v>
      </c>
      <c r="M179" t="s">
        <v>31</v>
      </c>
      <c r="N179" s="12">
        <v>3.2094907407407412E-2</v>
      </c>
      <c r="O179">
        <v>7</v>
      </c>
      <c r="P179" t="s">
        <v>560</v>
      </c>
    </row>
    <row r="180" spans="1:16" x14ac:dyDescent="0.25">
      <c r="A180" t="s">
        <v>515</v>
      </c>
      <c r="B180" t="s">
        <v>14</v>
      </c>
      <c r="C180" s="11">
        <v>45284.059803240743</v>
      </c>
      <c r="D180" s="11">
        <v>45284.079398148147</v>
      </c>
      <c r="E180" t="s">
        <v>21</v>
      </c>
      <c r="F180">
        <v>21213</v>
      </c>
      <c r="G180" t="s">
        <v>57</v>
      </c>
      <c r="H180" t="s">
        <v>58</v>
      </c>
      <c r="I180">
        <v>41.834975</v>
      </c>
      <c r="J180">
        <v>-87.625484999999998</v>
      </c>
      <c r="K180">
        <v>41.912601000000002</v>
      </c>
      <c r="L180">
        <v>-87.634265999999997</v>
      </c>
      <c r="M180" t="s">
        <v>31</v>
      </c>
      <c r="N180" s="12">
        <v>1.9594907407407405E-2</v>
      </c>
      <c r="O180">
        <v>1</v>
      </c>
      <c r="P180" t="s">
        <v>554</v>
      </c>
    </row>
    <row r="181" spans="1:16" x14ac:dyDescent="0.25">
      <c r="A181" t="s">
        <v>522</v>
      </c>
      <c r="B181" t="s">
        <v>14</v>
      </c>
      <c r="C181" s="11">
        <v>45285.888298611113</v>
      </c>
      <c r="D181" s="11">
        <v>45285.897847222222</v>
      </c>
      <c r="E181" t="s">
        <v>33</v>
      </c>
      <c r="F181" t="s">
        <v>34</v>
      </c>
      <c r="G181" t="s">
        <v>57</v>
      </c>
      <c r="H181" t="s">
        <v>58</v>
      </c>
      <c r="I181">
        <v>41.887455000000003</v>
      </c>
      <c r="J181">
        <v>-87.612472999999994</v>
      </c>
      <c r="K181">
        <v>41.912500000000001</v>
      </c>
      <c r="L181">
        <v>-87.634748000000002</v>
      </c>
      <c r="M181" t="s">
        <v>31</v>
      </c>
      <c r="N181" s="12">
        <v>9.5486111111111101E-3</v>
      </c>
      <c r="O181">
        <v>2</v>
      </c>
      <c r="P181" t="s">
        <v>555</v>
      </c>
    </row>
    <row r="182" spans="1:16" x14ac:dyDescent="0.25">
      <c r="A182" t="s">
        <v>531</v>
      </c>
      <c r="B182" t="s">
        <v>26</v>
      </c>
      <c r="C182" s="11">
        <v>45290.556203703702</v>
      </c>
      <c r="D182" s="11">
        <v>45290.578645833331</v>
      </c>
      <c r="E182" t="s">
        <v>19</v>
      </c>
      <c r="F182" t="s">
        <v>20</v>
      </c>
      <c r="G182" t="s">
        <v>30</v>
      </c>
      <c r="H182">
        <v>13137</v>
      </c>
      <c r="I182">
        <v>41.926532000000002</v>
      </c>
      <c r="J182">
        <v>-87.631206000000006</v>
      </c>
      <c r="K182">
        <v>41.937908</v>
      </c>
      <c r="L182">
        <v>-87.643816000000001</v>
      </c>
      <c r="M182" t="s">
        <v>31</v>
      </c>
      <c r="N182" s="12">
        <v>2.2442129629629631E-2</v>
      </c>
      <c r="O182">
        <v>7</v>
      </c>
      <c r="P182" t="s">
        <v>560</v>
      </c>
    </row>
    <row r="183" spans="1:16" x14ac:dyDescent="0.25">
      <c r="A183" t="s">
        <v>536</v>
      </c>
      <c r="B183" t="s">
        <v>14</v>
      </c>
      <c r="C183" s="11">
        <v>45291.238379629627</v>
      </c>
      <c r="D183" s="11">
        <v>45291.276516203703</v>
      </c>
      <c r="E183" t="s">
        <v>21</v>
      </c>
      <c r="F183">
        <v>21213</v>
      </c>
      <c r="G183" t="s">
        <v>35</v>
      </c>
      <c r="H183">
        <v>13022</v>
      </c>
      <c r="I183">
        <v>41.834719</v>
      </c>
      <c r="J183">
        <v>-87.625800999999996</v>
      </c>
      <c r="K183">
        <v>41.892519999999998</v>
      </c>
      <c r="L183">
        <v>-87.611844000000005</v>
      </c>
      <c r="M183" t="s">
        <v>31</v>
      </c>
      <c r="N183" s="12">
        <v>3.8136574074074073E-2</v>
      </c>
      <c r="O183">
        <v>1</v>
      </c>
      <c r="P183" t="s">
        <v>554</v>
      </c>
    </row>
    <row r="184" spans="1:16" x14ac:dyDescent="0.25">
      <c r="A184" t="s">
        <v>13</v>
      </c>
      <c r="B184" t="s">
        <v>14</v>
      </c>
      <c r="C184" s="11">
        <v>44927.992349537039</v>
      </c>
      <c r="D184" s="11">
        <v>44927.996701388889</v>
      </c>
      <c r="E184" t="s">
        <v>15</v>
      </c>
      <c r="F184">
        <v>13008</v>
      </c>
      <c r="G184" t="s">
        <v>16</v>
      </c>
      <c r="H184">
        <v>13045</v>
      </c>
      <c r="I184">
        <v>41.880747</v>
      </c>
      <c r="J184">
        <v>-87.624542000000005</v>
      </c>
      <c r="K184">
        <v>41.893856</v>
      </c>
      <c r="L184">
        <v>-87.629718999999994</v>
      </c>
      <c r="M184" t="s">
        <v>17</v>
      </c>
      <c r="N184" s="12">
        <v>4.3518518518518515E-3</v>
      </c>
      <c r="O184">
        <v>1</v>
      </c>
      <c r="P184" t="s">
        <v>554</v>
      </c>
    </row>
    <row r="185" spans="1:16" x14ac:dyDescent="0.25">
      <c r="A185" t="s">
        <v>18</v>
      </c>
      <c r="B185" t="s">
        <v>14</v>
      </c>
      <c r="C185" s="11">
        <v>44930.038518518515</v>
      </c>
      <c r="D185" s="11">
        <v>44930.063888888886</v>
      </c>
      <c r="E185" t="s">
        <v>19</v>
      </c>
      <c r="F185" t="s">
        <v>20</v>
      </c>
      <c r="G185" t="s">
        <v>21</v>
      </c>
      <c r="H185">
        <v>21213</v>
      </c>
      <c r="I185">
        <v>41.926000000000002</v>
      </c>
      <c r="J185">
        <v>-87.630926000000002</v>
      </c>
      <c r="K185">
        <v>41.834581999999997</v>
      </c>
      <c r="L185">
        <v>-87.626290999999995</v>
      </c>
      <c r="M185" t="s">
        <v>17</v>
      </c>
      <c r="N185" s="12">
        <v>2.5370370370370366E-2</v>
      </c>
      <c r="O185">
        <v>4</v>
      </c>
      <c r="P185" t="s">
        <v>557</v>
      </c>
    </row>
    <row r="186" spans="1:16" x14ac:dyDescent="0.25">
      <c r="A186" t="s">
        <v>22</v>
      </c>
      <c r="B186" t="s">
        <v>14</v>
      </c>
      <c r="C186" s="11">
        <v>44930.713055555556</v>
      </c>
      <c r="D186" s="11">
        <v>44930.716331018521</v>
      </c>
      <c r="E186" t="s">
        <v>23</v>
      </c>
      <c r="F186">
        <v>13011</v>
      </c>
      <c r="G186" t="s">
        <v>24</v>
      </c>
      <c r="H186">
        <v>13263</v>
      </c>
      <c r="I186">
        <v>41.879669999999997</v>
      </c>
      <c r="J186">
        <v>-87.640034</v>
      </c>
      <c r="K186">
        <v>41.884242999999998</v>
      </c>
      <c r="L186">
        <v>-87.619093000000007</v>
      </c>
      <c r="M186" t="s">
        <v>17</v>
      </c>
      <c r="N186" s="12">
        <v>3.2754629629629631E-3</v>
      </c>
      <c r="O186">
        <v>4</v>
      </c>
      <c r="P186" t="s">
        <v>557</v>
      </c>
    </row>
    <row r="187" spans="1:16" x14ac:dyDescent="0.25">
      <c r="A187" t="s">
        <v>25</v>
      </c>
      <c r="B187" t="s">
        <v>26</v>
      </c>
      <c r="C187" s="11">
        <v>44931.198807870373</v>
      </c>
      <c r="D187" s="11">
        <v>44931.205324074072</v>
      </c>
      <c r="E187" t="s">
        <v>27</v>
      </c>
      <c r="F187" t="s">
        <v>28</v>
      </c>
      <c r="G187" t="s">
        <v>19</v>
      </c>
      <c r="H187" t="s">
        <v>20</v>
      </c>
      <c r="I187">
        <v>41.889161999999999</v>
      </c>
      <c r="J187">
        <v>-87.638704000000004</v>
      </c>
      <c r="K187">
        <v>41.926340000000003</v>
      </c>
      <c r="L187">
        <v>-87.630529999999993</v>
      </c>
      <c r="M187" t="s">
        <v>17</v>
      </c>
      <c r="N187" s="12">
        <v>6.5162037037037037E-3</v>
      </c>
      <c r="O187">
        <v>5</v>
      </c>
      <c r="P187" t="s">
        <v>558</v>
      </c>
    </row>
    <row r="188" spans="1:16" x14ac:dyDescent="0.25">
      <c r="A188" t="s">
        <v>32</v>
      </c>
      <c r="B188" t="s">
        <v>14</v>
      </c>
      <c r="C188" s="11">
        <v>44932.017581018517</v>
      </c>
      <c r="D188" s="11">
        <v>44932.023113425923</v>
      </c>
      <c r="E188" t="s">
        <v>33</v>
      </c>
      <c r="F188" t="s">
        <v>34</v>
      </c>
      <c r="G188" t="s">
        <v>35</v>
      </c>
      <c r="H188">
        <v>13022</v>
      </c>
      <c r="I188">
        <v>41.887403999999997</v>
      </c>
      <c r="J188">
        <v>-87.612468000000007</v>
      </c>
      <c r="K188">
        <v>41.892001999999998</v>
      </c>
      <c r="L188">
        <v>-87.612303999999995</v>
      </c>
      <c r="M188" t="s">
        <v>17</v>
      </c>
      <c r="N188" s="12">
        <v>5.5324074074074069E-3</v>
      </c>
      <c r="O188">
        <v>6</v>
      </c>
      <c r="P188" t="s">
        <v>559</v>
      </c>
    </row>
    <row r="189" spans="1:16" x14ac:dyDescent="0.25">
      <c r="A189" t="s">
        <v>39</v>
      </c>
      <c r="B189" t="s">
        <v>14</v>
      </c>
      <c r="C189" s="11">
        <v>44933.796574074076</v>
      </c>
      <c r="D189" s="11">
        <v>44933.805949074071</v>
      </c>
      <c r="E189" t="s">
        <v>27</v>
      </c>
      <c r="F189" t="s">
        <v>28</v>
      </c>
      <c r="G189" t="s">
        <v>15</v>
      </c>
      <c r="H189">
        <v>13008</v>
      </c>
      <c r="I189">
        <v>41.888835999999998</v>
      </c>
      <c r="J189">
        <v>-87.638651999999993</v>
      </c>
      <c r="K189">
        <v>41.880951000000003</v>
      </c>
      <c r="L189">
        <v>-87.624193000000005</v>
      </c>
      <c r="M189" t="s">
        <v>17</v>
      </c>
      <c r="N189" s="12">
        <v>9.3749999999999997E-3</v>
      </c>
      <c r="O189">
        <v>7</v>
      </c>
      <c r="P189" t="s">
        <v>560</v>
      </c>
    </row>
    <row r="190" spans="1:16" x14ac:dyDescent="0.25">
      <c r="A190" t="s">
        <v>40</v>
      </c>
      <c r="B190" t="s">
        <v>37</v>
      </c>
      <c r="C190" s="11">
        <v>44934.896909722222</v>
      </c>
      <c r="D190" s="11">
        <v>44934.913495370369</v>
      </c>
      <c r="E190" t="s">
        <v>41</v>
      </c>
      <c r="F190" t="s">
        <v>42</v>
      </c>
      <c r="G190" t="s">
        <v>43</v>
      </c>
      <c r="H190" t="s">
        <v>44</v>
      </c>
      <c r="I190">
        <v>41.902535</v>
      </c>
      <c r="J190">
        <v>-87.631045999999998</v>
      </c>
      <c r="K190">
        <v>41.903244000000001</v>
      </c>
      <c r="L190">
        <v>-87.634611000000007</v>
      </c>
      <c r="M190" t="s">
        <v>17</v>
      </c>
      <c r="N190" s="12">
        <v>1.6585648148148148E-2</v>
      </c>
      <c r="O190">
        <v>1</v>
      </c>
      <c r="P190" t="s">
        <v>554</v>
      </c>
    </row>
    <row r="191" spans="1:16" x14ac:dyDescent="0.25">
      <c r="A191" t="s">
        <v>46</v>
      </c>
      <c r="B191" t="s">
        <v>14</v>
      </c>
      <c r="C191" s="11">
        <v>44936.020740740743</v>
      </c>
      <c r="D191" s="11">
        <v>44936.023935185185</v>
      </c>
      <c r="E191" t="s">
        <v>47</v>
      </c>
      <c r="F191" t="s">
        <v>48</v>
      </c>
      <c r="G191" t="s">
        <v>47</v>
      </c>
      <c r="H191" t="s">
        <v>48</v>
      </c>
      <c r="I191">
        <v>41.881951000000001</v>
      </c>
      <c r="J191">
        <v>-87.641149999999996</v>
      </c>
      <c r="K191">
        <v>41.882098999999997</v>
      </c>
      <c r="L191">
        <v>-87.640653999999998</v>
      </c>
      <c r="M191" t="s">
        <v>17</v>
      </c>
      <c r="N191" s="12">
        <v>3.1944444444444442E-3</v>
      </c>
      <c r="O191">
        <v>3</v>
      </c>
      <c r="P191" t="s">
        <v>556</v>
      </c>
    </row>
    <row r="192" spans="1:16" x14ac:dyDescent="0.25">
      <c r="A192" t="s">
        <v>49</v>
      </c>
      <c r="B192" t="s">
        <v>14</v>
      </c>
      <c r="C192" s="11">
        <v>44936.282638888886</v>
      </c>
      <c r="D192" s="11">
        <v>44936.28707175926</v>
      </c>
      <c r="E192" t="s">
        <v>27</v>
      </c>
      <c r="F192" t="s">
        <v>28</v>
      </c>
      <c r="G192" t="s">
        <v>35</v>
      </c>
      <c r="H192">
        <v>13022</v>
      </c>
      <c r="I192">
        <v>41.889387999999997</v>
      </c>
      <c r="J192">
        <v>-87.638216</v>
      </c>
      <c r="K192">
        <v>41.892384</v>
      </c>
      <c r="L192">
        <v>-87.611616999999995</v>
      </c>
      <c r="M192" t="s">
        <v>17</v>
      </c>
      <c r="N192" s="12">
        <v>4.4328703703703709E-3</v>
      </c>
      <c r="O192">
        <v>3</v>
      </c>
      <c r="P192" t="s">
        <v>556</v>
      </c>
    </row>
    <row r="193" spans="1:16" x14ac:dyDescent="0.25">
      <c r="A193" t="s">
        <v>51</v>
      </c>
      <c r="B193" t="s">
        <v>14</v>
      </c>
      <c r="C193" s="11">
        <v>44937.632222222222</v>
      </c>
      <c r="D193" s="11">
        <v>44937.638009259259</v>
      </c>
      <c r="E193" t="s">
        <v>15</v>
      </c>
      <c r="F193">
        <v>13008</v>
      </c>
      <c r="G193" t="s">
        <v>23</v>
      </c>
      <c r="H193">
        <v>13011</v>
      </c>
      <c r="I193">
        <v>41.881531000000003</v>
      </c>
      <c r="J193">
        <v>-87.624478999999994</v>
      </c>
      <c r="K193">
        <v>41.879254000000003</v>
      </c>
      <c r="L193">
        <v>-87.640018999999995</v>
      </c>
      <c r="M193" t="s">
        <v>17</v>
      </c>
      <c r="N193" s="12">
        <v>5.7870370370370376E-3</v>
      </c>
      <c r="O193">
        <v>4</v>
      </c>
      <c r="P193" t="s">
        <v>557</v>
      </c>
    </row>
    <row r="194" spans="1:16" x14ac:dyDescent="0.25">
      <c r="A194" t="s">
        <v>52</v>
      </c>
      <c r="B194" t="s">
        <v>37</v>
      </c>
      <c r="C194" s="11">
        <v>44937.736087962963</v>
      </c>
      <c r="D194" s="11">
        <v>44937.746365740742</v>
      </c>
      <c r="E194" t="s">
        <v>33</v>
      </c>
      <c r="F194" t="s">
        <v>34</v>
      </c>
      <c r="G194" t="s">
        <v>19</v>
      </c>
      <c r="H194" t="s">
        <v>20</v>
      </c>
      <c r="I194">
        <v>41.886693999999999</v>
      </c>
      <c r="J194">
        <v>-87.612378000000007</v>
      </c>
      <c r="K194">
        <v>41.926242999999999</v>
      </c>
      <c r="L194">
        <v>-87.630888999999996</v>
      </c>
      <c r="M194" t="s">
        <v>17</v>
      </c>
      <c r="N194" s="12">
        <v>1.0277777777777778E-2</v>
      </c>
      <c r="O194">
        <v>4</v>
      </c>
      <c r="P194" t="s">
        <v>557</v>
      </c>
    </row>
    <row r="195" spans="1:16" x14ac:dyDescent="0.25">
      <c r="A195" t="s">
        <v>55</v>
      </c>
      <c r="B195" t="s">
        <v>37</v>
      </c>
      <c r="C195" s="11">
        <v>44941.209803240738</v>
      </c>
      <c r="D195" s="11">
        <v>44941.226388888892</v>
      </c>
      <c r="E195" t="s">
        <v>47</v>
      </c>
      <c r="F195" t="s">
        <v>48</v>
      </c>
      <c r="G195" t="s">
        <v>35</v>
      </c>
      <c r="H195">
        <v>13022</v>
      </c>
      <c r="I195">
        <v>41.882018000000002</v>
      </c>
      <c r="J195">
        <v>-87.641362000000001</v>
      </c>
      <c r="K195">
        <v>41.891795000000002</v>
      </c>
      <c r="L195">
        <v>-87.611863999999997</v>
      </c>
      <c r="M195" t="s">
        <v>17</v>
      </c>
      <c r="N195" s="12">
        <v>1.6585648148148148E-2</v>
      </c>
      <c r="O195">
        <v>1</v>
      </c>
      <c r="P195" t="s">
        <v>554</v>
      </c>
    </row>
    <row r="196" spans="1:16" x14ac:dyDescent="0.25">
      <c r="A196" t="s">
        <v>56</v>
      </c>
      <c r="B196" t="s">
        <v>14</v>
      </c>
      <c r="C196" s="11">
        <v>44944.194930555554</v>
      </c>
      <c r="D196" s="11">
        <v>44944.204930555556</v>
      </c>
      <c r="E196" t="s">
        <v>57</v>
      </c>
      <c r="F196" t="s">
        <v>58</v>
      </c>
      <c r="G196" t="s">
        <v>57</v>
      </c>
      <c r="H196" t="s">
        <v>58</v>
      </c>
      <c r="I196">
        <v>41.911710999999997</v>
      </c>
      <c r="J196">
        <v>-87.635154</v>
      </c>
      <c r="K196">
        <v>41.912601000000002</v>
      </c>
      <c r="L196">
        <v>-87.635150999999993</v>
      </c>
      <c r="M196" t="s">
        <v>17</v>
      </c>
      <c r="N196" s="12">
        <v>0.01</v>
      </c>
      <c r="O196">
        <v>4</v>
      </c>
      <c r="P196" t="s">
        <v>557</v>
      </c>
    </row>
    <row r="197" spans="1:16" x14ac:dyDescent="0.25">
      <c r="A197" t="s">
        <v>59</v>
      </c>
      <c r="B197" t="s">
        <v>14</v>
      </c>
      <c r="C197" s="11">
        <v>44944.347384259258</v>
      </c>
      <c r="D197" s="11">
        <v>44944.352534722224</v>
      </c>
      <c r="E197" t="s">
        <v>30</v>
      </c>
      <c r="F197">
        <v>13137</v>
      </c>
      <c r="G197" t="s">
        <v>24</v>
      </c>
      <c r="H197">
        <v>13263</v>
      </c>
      <c r="I197">
        <v>41.937261999999997</v>
      </c>
      <c r="J197">
        <v>-87.644360000000006</v>
      </c>
      <c r="K197">
        <v>41.885199</v>
      </c>
      <c r="L197">
        <v>-87.619839999999996</v>
      </c>
      <c r="M197" t="s">
        <v>17</v>
      </c>
      <c r="N197" s="12">
        <v>5.1504629629629635E-3</v>
      </c>
      <c r="O197">
        <v>4</v>
      </c>
      <c r="P197" t="s">
        <v>557</v>
      </c>
    </row>
    <row r="198" spans="1:16" x14ac:dyDescent="0.25">
      <c r="A198" t="s">
        <v>60</v>
      </c>
      <c r="B198" t="s">
        <v>14</v>
      </c>
      <c r="C198" s="11">
        <v>44944.841620370367</v>
      </c>
      <c r="D198" s="11">
        <v>44944.849386574075</v>
      </c>
      <c r="E198" t="s">
        <v>16</v>
      </c>
      <c r="F198">
        <v>13045</v>
      </c>
      <c r="G198" t="s">
        <v>16</v>
      </c>
      <c r="H198">
        <v>13045</v>
      </c>
      <c r="I198">
        <v>41.893996999999999</v>
      </c>
      <c r="J198">
        <v>-87.629048999999995</v>
      </c>
      <c r="K198">
        <v>41.893554000000002</v>
      </c>
      <c r="L198">
        <v>-87.629240999999993</v>
      </c>
      <c r="M198" t="s">
        <v>17</v>
      </c>
      <c r="N198" s="12">
        <v>7.7662037037037031E-3</v>
      </c>
      <c r="O198">
        <v>4</v>
      </c>
      <c r="P198" t="s">
        <v>557</v>
      </c>
    </row>
    <row r="199" spans="1:16" x14ac:dyDescent="0.25">
      <c r="A199" t="s">
        <v>64</v>
      </c>
      <c r="B199" t="s">
        <v>14</v>
      </c>
      <c r="C199" s="11">
        <v>44948.651608796295</v>
      </c>
      <c r="D199" s="11">
        <v>44948.66815972222</v>
      </c>
      <c r="E199" t="s">
        <v>43</v>
      </c>
      <c r="F199" t="s">
        <v>44</v>
      </c>
      <c r="G199" t="s">
        <v>35</v>
      </c>
      <c r="H199">
        <v>13022</v>
      </c>
      <c r="I199">
        <v>41.903675</v>
      </c>
      <c r="J199">
        <v>-87.634764000000004</v>
      </c>
      <c r="K199">
        <v>41.892076000000003</v>
      </c>
      <c r="L199">
        <v>-87.612245000000001</v>
      </c>
      <c r="M199" t="s">
        <v>17</v>
      </c>
      <c r="N199" s="12">
        <v>1.6550925925925924E-2</v>
      </c>
      <c r="O199">
        <v>1</v>
      </c>
      <c r="P199" t="s">
        <v>554</v>
      </c>
    </row>
    <row r="200" spans="1:16" x14ac:dyDescent="0.25">
      <c r="A200" t="s">
        <v>65</v>
      </c>
      <c r="B200" t="s">
        <v>14</v>
      </c>
      <c r="C200" s="11">
        <v>44948.853807870371</v>
      </c>
      <c r="D200" s="11">
        <v>44948.886956018519</v>
      </c>
      <c r="E200" t="s">
        <v>66</v>
      </c>
      <c r="F200">
        <v>13042</v>
      </c>
      <c r="G200" t="s">
        <v>21</v>
      </c>
      <c r="H200">
        <v>21213</v>
      </c>
      <c r="I200">
        <v>41.900894000000001</v>
      </c>
      <c r="J200">
        <v>-87.623926999999995</v>
      </c>
      <c r="K200">
        <v>41.834879000000001</v>
      </c>
      <c r="L200">
        <v>-87.625643999999994</v>
      </c>
      <c r="M200" t="s">
        <v>17</v>
      </c>
      <c r="N200" s="12">
        <v>3.3148148148148149E-2</v>
      </c>
      <c r="O200">
        <v>1</v>
      </c>
      <c r="P200" t="s">
        <v>554</v>
      </c>
    </row>
    <row r="201" spans="1:16" x14ac:dyDescent="0.25">
      <c r="A201" t="s">
        <v>67</v>
      </c>
      <c r="B201" t="s">
        <v>14</v>
      </c>
      <c r="C201" s="11">
        <v>44948.946481481478</v>
      </c>
      <c r="D201" s="11">
        <v>44948.962523148148</v>
      </c>
      <c r="E201" t="s">
        <v>24</v>
      </c>
      <c r="F201">
        <v>13263</v>
      </c>
      <c r="G201" t="s">
        <v>66</v>
      </c>
      <c r="H201">
        <v>13042</v>
      </c>
      <c r="I201">
        <v>41.885078999999998</v>
      </c>
      <c r="J201">
        <v>-87.619039000000001</v>
      </c>
      <c r="K201">
        <v>41.901088000000001</v>
      </c>
      <c r="L201">
        <v>-87.624028999999993</v>
      </c>
      <c r="M201" t="s">
        <v>17</v>
      </c>
      <c r="N201" s="12">
        <v>1.6041666666666666E-2</v>
      </c>
      <c r="O201">
        <v>1</v>
      </c>
      <c r="P201" t="s">
        <v>554</v>
      </c>
    </row>
    <row r="202" spans="1:16" x14ac:dyDescent="0.25">
      <c r="A202" t="s">
        <v>68</v>
      </c>
      <c r="B202" t="s">
        <v>14</v>
      </c>
      <c r="C202" s="11">
        <v>44949.695752314816</v>
      </c>
      <c r="D202" s="11">
        <v>44949.707245370373</v>
      </c>
      <c r="E202" t="s">
        <v>15</v>
      </c>
      <c r="F202">
        <v>13008</v>
      </c>
      <c r="G202" t="s">
        <v>16</v>
      </c>
      <c r="H202">
        <v>13045</v>
      </c>
      <c r="I202">
        <v>41.881464999999999</v>
      </c>
      <c r="J202">
        <v>-87.624082999999999</v>
      </c>
      <c r="K202">
        <v>41.894030999999998</v>
      </c>
      <c r="L202">
        <v>-87.629133999999993</v>
      </c>
      <c r="M202" t="s">
        <v>17</v>
      </c>
      <c r="N202" s="12">
        <v>1.1493055555555555E-2</v>
      </c>
      <c r="O202">
        <v>2</v>
      </c>
      <c r="P202" t="s">
        <v>555</v>
      </c>
    </row>
    <row r="203" spans="1:16" x14ac:dyDescent="0.25">
      <c r="A203" t="s">
        <v>71</v>
      </c>
      <c r="B203" t="s">
        <v>37</v>
      </c>
      <c r="C203" s="11">
        <v>44951.796620370369</v>
      </c>
      <c r="D203" s="11">
        <v>44951.805648148147</v>
      </c>
      <c r="E203" t="s">
        <v>47</v>
      </c>
      <c r="F203" t="s">
        <v>48</v>
      </c>
      <c r="G203" t="s">
        <v>43</v>
      </c>
      <c r="H203" t="s">
        <v>44</v>
      </c>
      <c r="I203">
        <v>41.882227</v>
      </c>
      <c r="J203">
        <v>-87.641232000000002</v>
      </c>
      <c r="K203">
        <v>41.903514000000001</v>
      </c>
      <c r="L203">
        <v>-87.634372999999997</v>
      </c>
      <c r="M203" t="s">
        <v>17</v>
      </c>
      <c r="N203" s="12">
        <v>9.0277777777777787E-3</v>
      </c>
      <c r="O203">
        <v>4</v>
      </c>
      <c r="P203" t="s">
        <v>557</v>
      </c>
    </row>
    <row r="204" spans="1:16" x14ac:dyDescent="0.25">
      <c r="A204" t="s">
        <v>73</v>
      </c>
      <c r="B204" t="s">
        <v>14</v>
      </c>
      <c r="C204" s="11">
        <v>44952.351597222223</v>
      </c>
      <c r="D204" s="11">
        <v>44952.360405092593</v>
      </c>
      <c r="E204" t="s">
        <v>47</v>
      </c>
      <c r="F204" t="s">
        <v>48</v>
      </c>
      <c r="G204" t="s">
        <v>43</v>
      </c>
      <c r="H204" t="s">
        <v>44</v>
      </c>
      <c r="I204">
        <v>41.881887999999996</v>
      </c>
      <c r="J204">
        <v>-87.640687999999997</v>
      </c>
      <c r="K204">
        <v>41.902991</v>
      </c>
      <c r="L204">
        <v>-87.633842000000001</v>
      </c>
      <c r="M204" t="s">
        <v>17</v>
      </c>
      <c r="N204" s="12">
        <v>8.8078703703703704E-3</v>
      </c>
      <c r="O204">
        <v>5</v>
      </c>
      <c r="P204" t="s">
        <v>558</v>
      </c>
    </row>
    <row r="205" spans="1:16" x14ac:dyDescent="0.25">
      <c r="A205" t="s">
        <v>76</v>
      </c>
      <c r="B205" t="s">
        <v>14</v>
      </c>
      <c r="C205" s="11">
        <v>44954.243113425924</v>
      </c>
      <c r="D205" s="11">
        <v>44954.256689814814</v>
      </c>
      <c r="E205" t="s">
        <v>23</v>
      </c>
      <c r="F205">
        <v>13011</v>
      </c>
      <c r="G205" t="s">
        <v>41</v>
      </c>
      <c r="H205" t="s">
        <v>42</v>
      </c>
      <c r="I205">
        <v>41.878929999999997</v>
      </c>
      <c r="J205">
        <v>-87.639489999999995</v>
      </c>
      <c r="K205">
        <v>41.902892000000001</v>
      </c>
      <c r="L205">
        <v>-87.631397000000007</v>
      </c>
      <c r="M205" t="s">
        <v>17</v>
      </c>
      <c r="N205" s="12">
        <v>1.357638888888889E-2</v>
      </c>
      <c r="O205">
        <v>7</v>
      </c>
      <c r="P205" t="s">
        <v>560</v>
      </c>
    </row>
    <row r="206" spans="1:16" x14ac:dyDescent="0.25">
      <c r="A206" t="s">
        <v>78</v>
      </c>
      <c r="B206" t="s">
        <v>37</v>
      </c>
      <c r="C206" s="11">
        <v>44956.156041666669</v>
      </c>
      <c r="D206" s="11">
        <v>44956.159675925926</v>
      </c>
      <c r="E206" t="s">
        <v>33</v>
      </c>
      <c r="F206" t="s">
        <v>34</v>
      </c>
      <c r="G206" t="s">
        <v>41</v>
      </c>
      <c r="H206" t="s">
        <v>42</v>
      </c>
      <c r="I206">
        <v>41.886592</v>
      </c>
      <c r="J206">
        <v>-87.613185999999999</v>
      </c>
      <c r="K206">
        <v>41.902661999999999</v>
      </c>
      <c r="L206">
        <v>-87.631321</v>
      </c>
      <c r="M206" t="s">
        <v>17</v>
      </c>
      <c r="N206" s="12">
        <v>3.6342592592592594E-3</v>
      </c>
      <c r="O206">
        <v>2</v>
      </c>
      <c r="P206" t="s">
        <v>555</v>
      </c>
    </row>
    <row r="207" spans="1:16" x14ac:dyDescent="0.25">
      <c r="A207" t="s">
        <v>80</v>
      </c>
      <c r="B207" t="s">
        <v>37</v>
      </c>
      <c r="C207" s="11">
        <v>44960.077708333331</v>
      </c>
      <c r="D207" s="11">
        <v>44960.08353009259</v>
      </c>
      <c r="E207" t="s">
        <v>41</v>
      </c>
      <c r="F207" t="s">
        <v>42</v>
      </c>
      <c r="G207" t="s">
        <v>30</v>
      </c>
      <c r="H207">
        <v>13137</v>
      </c>
      <c r="I207">
        <v>41.902748000000003</v>
      </c>
      <c r="J207">
        <v>-87.631219000000002</v>
      </c>
      <c r="K207">
        <v>41.937465000000003</v>
      </c>
      <c r="L207">
        <v>-87.643625999999998</v>
      </c>
      <c r="M207" t="s">
        <v>17</v>
      </c>
      <c r="N207" s="12">
        <v>5.8217592592592592E-3</v>
      </c>
      <c r="O207">
        <v>6</v>
      </c>
      <c r="P207" t="s">
        <v>559</v>
      </c>
    </row>
    <row r="208" spans="1:16" x14ac:dyDescent="0.25">
      <c r="A208" t="s">
        <v>81</v>
      </c>
      <c r="B208" t="s">
        <v>14</v>
      </c>
      <c r="C208" s="11">
        <v>44961.099108796298</v>
      </c>
      <c r="D208" s="11">
        <v>44961.117534722223</v>
      </c>
      <c r="E208" t="s">
        <v>27</v>
      </c>
      <c r="F208" t="s">
        <v>28</v>
      </c>
      <c r="G208" t="s">
        <v>19</v>
      </c>
      <c r="H208" t="s">
        <v>20</v>
      </c>
      <c r="I208">
        <v>41.888945999999997</v>
      </c>
      <c r="J208">
        <v>-87.638728</v>
      </c>
      <c r="K208">
        <v>41.92671</v>
      </c>
      <c r="L208">
        <v>-87.630610000000004</v>
      </c>
      <c r="M208" t="s">
        <v>17</v>
      </c>
      <c r="N208" s="12">
        <v>1.8425925925925925E-2</v>
      </c>
      <c r="O208">
        <v>7</v>
      </c>
      <c r="P208" t="s">
        <v>560</v>
      </c>
    </row>
    <row r="209" spans="1:16" x14ac:dyDescent="0.25">
      <c r="A209" t="s">
        <v>82</v>
      </c>
      <c r="B209" t="s">
        <v>37</v>
      </c>
      <c r="C209" s="11">
        <v>44964.263738425929</v>
      </c>
      <c r="D209" s="11">
        <v>44964.275590277779</v>
      </c>
      <c r="E209" t="s">
        <v>47</v>
      </c>
      <c r="F209" t="s">
        <v>48</v>
      </c>
      <c r="G209" t="s">
        <v>30</v>
      </c>
      <c r="H209">
        <v>13137</v>
      </c>
      <c r="I209">
        <v>41.882624999999997</v>
      </c>
      <c r="J209">
        <v>-87.641050000000007</v>
      </c>
      <c r="K209">
        <v>41.937989000000002</v>
      </c>
      <c r="L209">
        <v>-87.644026999999994</v>
      </c>
      <c r="M209" t="s">
        <v>17</v>
      </c>
      <c r="N209" s="12">
        <v>1.1851851851851851E-2</v>
      </c>
      <c r="O209">
        <v>3</v>
      </c>
      <c r="P209" t="s">
        <v>556</v>
      </c>
    </row>
    <row r="210" spans="1:16" x14ac:dyDescent="0.25">
      <c r="A210" t="s">
        <v>84</v>
      </c>
      <c r="B210" t="s">
        <v>14</v>
      </c>
      <c r="C210" s="11">
        <v>44964.737395833334</v>
      </c>
      <c r="D210" s="11">
        <v>44964.749849537038</v>
      </c>
      <c r="E210" t="s">
        <v>15</v>
      </c>
      <c r="F210">
        <v>13008</v>
      </c>
      <c r="G210" t="s">
        <v>15</v>
      </c>
      <c r="H210">
        <v>13008</v>
      </c>
      <c r="I210">
        <v>41.880637999999998</v>
      </c>
      <c r="J210">
        <v>-87.624538999999999</v>
      </c>
      <c r="K210">
        <v>41.881188000000002</v>
      </c>
      <c r="L210">
        <v>-87.624048999999999</v>
      </c>
      <c r="M210" t="s">
        <v>17</v>
      </c>
      <c r="N210" s="12">
        <v>1.2453703703703703E-2</v>
      </c>
      <c r="O210">
        <v>3</v>
      </c>
      <c r="P210" t="s">
        <v>556</v>
      </c>
    </row>
    <row r="211" spans="1:16" x14ac:dyDescent="0.25">
      <c r="A211" t="s">
        <v>85</v>
      </c>
      <c r="B211" t="s">
        <v>14</v>
      </c>
      <c r="C211" s="11">
        <v>44965.169768518521</v>
      </c>
      <c r="D211" s="11">
        <v>44965.195752314816</v>
      </c>
      <c r="E211" t="s">
        <v>27</v>
      </c>
      <c r="F211" t="s">
        <v>28</v>
      </c>
      <c r="G211" t="s">
        <v>23</v>
      </c>
      <c r="H211">
        <v>13011</v>
      </c>
      <c r="I211">
        <v>41.888866999999998</v>
      </c>
      <c r="J211">
        <v>-87.63888</v>
      </c>
      <c r="K211">
        <v>41.879066000000002</v>
      </c>
      <c r="L211">
        <v>-87.639517999999995</v>
      </c>
      <c r="M211" t="s">
        <v>17</v>
      </c>
      <c r="N211" s="12">
        <v>2.5983796296296297E-2</v>
      </c>
      <c r="O211">
        <v>4</v>
      </c>
      <c r="P211" t="s">
        <v>557</v>
      </c>
    </row>
    <row r="212" spans="1:16" x14ac:dyDescent="0.25">
      <c r="A212" t="s">
        <v>87</v>
      </c>
      <c r="B212" t="s">
        <v>14</v>
      </c>
      <c r="C212" s="11">
        <v>44967.209004629629</v>
      </c>
      <c r="D212" s="11">
        <v>44967.228090277778</v>
      </c>
      <c r="E212" t="s">
        <v>23</v>
      </c>
      <c r="F212">
        <v>13011</v>
      </c>
      <c r="G212" t="s">
        <v>21</v>
      </c>
      <c r="H212">
        <v>21213</v>
      </c>
      <c r="I212">
        <v>41.878943</v>
      </c>
      <c r="J212">
        <v>-87.640326999999999</v>
      </c>
      <c r="K212">
        <v>41.83493</v>
      </c>
      <c r="L212">
        <v>-87.625929999999997</v>
      </c>
      <c r="M212" t="s">
        <v>17</v>
      </c>
      <c r="N212" s="12">
        <v>1.9085648148148147E-2</v>
      </c>
      <c r="O212">
        <v>6</v>
      </c>
      <c r="P212" t="s">
        <v>559</v>
      </c>
    </row>
    <row r="213" spans="1:16" x14ac:dyDescent="0.25">
      <c r="A213" t="s">
        <v>92</v>
      </c>
      <c r="B213" t="s">
        <v>14</v>
      </c>
      <c r="C213" s="11">
        <v>44972.138449074075</v>
      </c>
      <c r="D213" s="11">
        <v>44972.146805555552</v>
      </c>
      <c r="E213" t="s">
        <v>43</v>
      </c>
      <c r="F213" t="s">
        <v>44</v>
      </c>
      <c r="G213" t="s">
        <v>47</v>
      </c>
      <c r="H213" t="s">
        <v>48</v>
      </c>
      <c r="I213">
        <v>41.902836000000001</v>
      </c>
      <c r="J213">
        <v>-87.633905999999996</v>
      </c>
      <c r="K213">
        <v>41.88252</v>
      </c>
      <c r="L213">
        <v>-87.640743999999998</v>
      </c>
      <c r="M213" t="s">
        <v>17</v>
      </c>
      <c r="N213" s="12">
        <v>8.3564814814814804E-3</v>
      </c>
      <c r="O213">
        <v>4</v>
      </c>
      <c r="P213" t="s">
        <v>557</v>
      </c>
    </row>
    <row r="214" spans="1:16" x14ac:dyDescent="0.25">
      <c r="A214" t="s">
        <v>94</v>
      </c>
      <c r="B214" t="s">
        <v>14</v>
      </c>
      <c r="C214" s="11">
        <v>44973.725671296299</v>
      </c>
      <c r="D214" s="11">
        <v>44973.732175925928</v>
      </c>
      <c r="E214" t="s">
        <v>23</v>
      </c>
      <c r="F214">
        <v>13011</v>
      </c>
      <c r="G214" t="s">
        <v>27</v>
      </c>
      <c r="H214" t="s">
        <v>28</v>
      </c>
      <c r="I214">
        <v>41.879209000000003</v>
      </c>
      <c r="J214">
        <v>-87.639897000000005</v>
      </c>
      <c r="K214">
        <v>41.889249</v>
      </c>
      <c r="L214">
        <v>-87.638074000000003</v>
      </c>
      <c r="M214" t="s">
        <v>17</v>
      </c>
      <c r="N214" s="12">
        <v>6.5046296296296302E-3</v>
      </c>
      <c r="O214">
        <v>5</v>
      </c>
      <c r="P214" t="s">
        <v>558</v>
      </c>
    </row>
    <row r="215" spans="1:16" x14ac:dyDescent="0.25">
      <c r="A215" t="s">
        <v>96</v>
      </c>
      <c r="B215" t="s">
        <v>14</v>
      </c>
      <c r="C215" s="11">
        <v>44974.479421296295</v>
      </c>
      <c r="D215" s="11">
        <v>44974.504247685189</v>
      </c>
      <c r="E215" t="s">
        <v>33</v>
      </c>
      <c r="F215" t="s">
        <v>34</v>
      </c>
      <c r="G215" t="s">
        <v>41</v>
      </c>
      <c r="H215" t="s">
        <v>42</v>
      </c>
      <c r="I215">
        <v>41.887109000000002</v>
      </c>
      <c r="J215">
        <v>-87.612843999999996</v>
      </c>
      <c r="K215">
        <v>41.902915999999998</v>
      </c>
      <c r="L215">
        <v>-87.631286000000003</v>
      </c>
      <c r="M215" t="s">
        <v>17</v>
      </c>
      <c r="N215" s="12">
        <v>2.4826388888888887E-2</v>
      </c>
      <c r="O215">
        <v>6</v>
      </c>
      <c r="P215" t="s">
        <v>559</v>
      </c>
    </row>
    <row r="216" spans="1:16" x14ac:dyDescent="0.25">
      <c r="A216" t="s">
        <v>97</v>
      </c>
      <c r="B216" t="s">
        <v>14</v>
      </c>
      <c r="C216" s="11">
        <v>44975.057002314818</v>
      </c>
      <c r="D216" s="11">
        <v>44975.06177083333</v>
      </c>
      <c r="E216" t="s">
        <v>21</v>
      </c>
      <c r="F216">
        <v>21213</v>
      </c>
      <c r="G216" t="s">
        <v>21</v>
      </c>
      <c r="H216">
        <v>21213</v>
      </c>
      <c r="I216">
        <v>41.834589999999999</v>
      </c>
      <c r="J216">
        <v>-87.625632999999993</v>
      </c>
      <c r="K216">
        <v>41.834508</v>
      </c>
      <c r="L216">
        <v>-87.625484999999998</v>
      </c>
      <c r="M216" t="s">
        <v>17</v>
      </c>
      <c r="N216" s="12">
        <v>4.7685185185185183E-3</v>
      </c>
      <c r="O216">
        <v>7</v>
      </c>
      <c r="P216" t="s">
        <v>560</v>
      </c>
    </row>
    <row r="217" spans="1:16" x14ac:dyDescent="0.25">
      <c r="A217" t="s">
        <v>99</v>
      </c>
      <c r="B217" t="s">
        <v>37</v>
      </c>
      <c r="C217" s="11">
        <v>44975.537060185183</v>
      </c>
      <c r="D217" s="11">
        <v>44975.544560185182</v>
      </c>
      <c r="E217" t="s">
        <v>21</v>
      </c>
      <c r="F217">
        <v>21213</v>
      </c>
      <c r="G217" t="s">
        <v>57</v>
      </c>
      <c r="H217" t="s">
        <v>58</v>
      </c>
      <c r="I217">
        <v>41.834490000000002</v>
      </c>
      <c r="J217">
        <v>-87.625378999999995</v>
      </c>
      <c r="K217">
        <v>41.911763999999998</v>
      </c>
      <c r="L217">
        <v>-87.634359000000003</v>
      </c>
      <c r="M217" t="s">
        <v>17</v>
      </c>
      <c r="N217" s="12">
        <v>7.5000000000000006E-3</v>
      </c>
      <c r="O217">
        <v>7</v>
      </c>
      <c r="P217" t="s">
        <v>560</v>
      </c>
    </row>
    <row r="218" spans="1:16" x14ac:dyDescent="0.25">
      <c r="A218" t="s">
        <v>100</v>
      </c>
      <c r="B218" t="s">
        <v>14</v>
      </c>
      <c r="C218" s="11">
        <v>44975.663171296299</v>
      </c>
      <c r="D218" s="11">
        <v>44975.670428240737</v>
      </c>
      <c r="E218" t="s">
        <v>23</v>
      </c>
      <c r="F218">
        <v>13011</v>
      </c>
      <c r="G218" t="s">
        <v>24</v>
      </c>
      <c r="H218">
        <v>13263</v>
      </c>
      <c r="I218">
        <v>41.878846000000003</v>
      </c>
      <c r="J218">
        <v>-87.639786000000001</v>
      </c>
      <c r="K218">
        <v>41.884610000000002</v>
      </c>
      <c r="L218">
        <v>-87.619038000000003</v>
      </c>
      <c r="M218" t="s">
        <v>17</v>
      </c>
      <c r="N218" s="12">
        <v>7.2569444444444443E-3</v>
      </c>
      <c r="O218">
        <v>7</v>
      </c>
      <c r="P218" t="s">
        <v>560</v>
      </c>
    </row>
    <row r="219" spans="1:16" x14ac:dyDescent="0.25">
      <c r="A219" t="s">
        <v>102</v>
      </c>
      <c r="B219" t="s">
        <v>14</v>
      </c>
      <c r="C219" s="11">
        <v>44977.313206018516</v>
      </c>
      <c r="D219" s="11">
        <v>44977.320763888885</v>
      </c>
      <c r="E219" t="s">
        <v>16</v>
      </c>
      <c r="F219">
        <v>13045</v>
      </c>
      <c r="G219" t="s">
        <v>47</v>
      </c>
      <c r="H219" t="s">
        <v>48</v>
      </c>
      <c r="I219">
        <v>41.894461999999997</v>
      </c>
      <c r="J219">
        <v>-87.629042999999996</v>
      </c>
      <c r="K219">
        <v>41.882680999999998</v>
      </c>
      <c r="L219">
        <v>-87.640670999999998</v>
      </c>
      <c r="M219" t="s">
        <v>17</v>
      </c>
      <c r="N219" s="12">
        <v>7.5578703703703702E-3</v>
      </c>
      <c r="O219">
        <v>2</v>
      </c>
      <c r="P219" t="s">
        <v>555</v>
      </c>
    </row>
    <row r="220" spans="1:16" x14ac:dyDescent="0.25">
      <c r="A220" t="s">
        <v>104</v>
      </c>
      <c r="B220" t="s">
        <v>14</v>
      </c>
      <c r="C220" s="11">
        <v>44979.5625462963</v>
      </c>
      <c r="D220" s="11">
        <v>44979.568981481483</v>
      </c>
      <c r="E220" t="s">
        <v>19</v>
      </c>
      <c r="F220" t="s">
        <v>20</v>
      </c>
      <c r="G220" t="s">
        <v>43</v>
      </c>
      <c r="H220" t="s">
        <v>44</v>
      </c>
      <c r="I220">
        <v>41.926654999999997</v>
      </c>
      <c r="J220">
        <v>-87.630728000000005</v>
      </c>
      <c r="K220">
        <v>41.902968999999999</v>
      </c>
      <c r="L220">
        <v>-87.634467999999998</v>
      </c>
      <c r="M220" t="s">
        <v>17</v>
      </c>
      <c r="N220" s="12">
        <v>6.4351851851851861E-3</v>
      </c>
      <c r="O220">
        <v>4</v>
      </c>
      <c r="P220" t="s">
        <v>557</v>
      </c>
    </row>
    <row r="221" spans="1:16" x14ac:dyDescent="0.25">
      <c r="A221" t="s">
        <v>105</v>
      </c>
      <c r="B221" t="s">
        <v>26</v>
      </c>
      <c r="C221" s="11">
        <v>44980.699699074074</v>
      </c>
      <c r="D221" s="11">
        <v>44980.720555555556</v>
      </c>
      <c r="E221" t="s">
        <v>35</v>
      </c>
      <c r="F221">
        <v>13022</v>
      </c>
      <c r="G221" t="s">
        <v>41</v>
      </c>
      <c r="H221" t="s">
        <v>42</v>
      </c>
      <c r="I221">
        <v>41.892083999999997</v>
      </c>
      <c r="J221">
        <v>-87.612139999999997</v>
      </c>
      <c r="K221">
        <v>41.903146</v>
      </c>
      <c r="L221">
        <v>-87.631097999999994</v>
      </c>
      <c r="M221" t="s">
        <v>17</v>
      </c>
      <c r="N221" s="12">
        <v>2.0856481481481479E-2</v>
      </c>
      <c r="O221">
        <v>5</v>
      </c>
      <c r="P221" t="s">
        <v>558</v>
      </c>
    </row>
    <row r="222" spans="1:16" x14ac:dyDescent="0.25">
      <c r="A222" t="s">
        <v>106</v>
      </c>
      <c r="B222" t="s">
        <v>14</v>
      </c>
      <c r="C222" s="11">
        <v>44980.706423611111</v>
      </c>
      <c r="D222" s="11">
        <v>44980.710300925923</v>
      </c>
      <c r="E222" t="s">
        <v>16</v>
      </c>
      <c r="F222">
        <v>13045</v>
      </c>
      <c r="G222" t="s">
        <v>35</v>
      </c>
      <c r="H222">
        <v>13022</v>
      </c>
      <c r="I222">
        <v>41.894311999999999</v>
      </c>
      <c r="J222">
        <v>-87.628929999999997</v>
      </c>
      <c r="K222">
        <v>41.891976999999997</v>
      </c>
      <c r="L222">
        <v>-87.612258999999995</v>
      </c>
      <c r="M222" t="s">
        <v>17</v>
      </c>
      <c r="N222" s="12">
        <v>3.8773148148148143E-3</v>
      </c>
      <c r="O222">
        <v>5</v>
      </c>
      <c r="P222" t="s">
        <v>558</v>
      </c>
    </row>
    <row r="223" spans="1:16" x14ac:dyDescent="0.25">
      <c r="A223" t="s">
        <v>107</v>
      </c>
      <c r="B223" t="s">
        <v>37</v>
      </c>
      <c r="C223" s="11">
        <v>44981.853877314818</v>
      </c>
      <c r="D223" s="11">
        <v>44981.868090277778</v>
      </c>
      <c r="E223" t="s">
        <v>57</v>
      </c>
      <c r="F223" t="s">
        <v>58</v>
      </c>
      <c r="G223" t="s">
        <v>66</v>
      </c>
      <c r="H223">
        <v>13042</v>
      </c>
      <c r="I223">
        <v>41.911794999999998</v>
      </c>
      <c r="J223">
        <v>-87.635135000000005</v>
      </c>
      <c r="K223">
        <v>41.901113000000002</v>
      </c>
      <c r="L223">
        <v>-87.623945000000006</v>
      </c>
      <c r="M223" t="s">
        <v>17</v>
      </c>
      <c r="N223" s="12">
        <v>1.4212962962962962E-2</v>
      </c>
      <c r="O223">
        <v>6</v>
      </c>
      <c r="P223" t="s">
        <v>559</v>
      </c>
    </row>
    <row r="224" spans="1:16" x14ac:dyDescent="0.25">
      <c r="A224" t="s">
        <v>108</v>
      </c>
      <c r="B224" t="s">
        <v>14</v>
      </c>
      <c r="C224" s="11">
        <v>44982.766805555555</v>
      </c>
      <c r="D224" s="11">
        <v>44982.770891203705</v>
      </c>
      <c r="E224" t="s">
        <v>47</v>
      </c>
      <c r="F224" t="s">
        <v>48</v>
      </c>
      <c r="G224" t="s">
        <v>21</v>
      </c>
      <c r="H224">
        <v>21213</v>
      </c>
      <c r="I224">
        <v>41.882418000000001</v>
      </c>
      <c r="J224">
        <v>-87.641057000000004</v>
      </c>
      <c r="K224">
        <v>41.835095000000003</v>
      </c>
      <c r="L224">
        <v>-87.625446999999994</v>
      </c>
      <c r="M224" t="s">
        <v>17</v>
      </c>
      <c r="N224" s="12">
        <v>4.0856481481481481E-3</v>
      </c>
      <c r="O224">
        <v>7</v>
      </c>
      <c r="P224" t="s">
        <v>560</v>
      </c>
    </row>
    <row r="225" spans="1:16" x14ac:dyDescent="0.25">
      <c r="A225" t="s">
        <v>109</v>
      </c>
      <c r="B225" t="s">
        <v>14</v>
      </c>
      <c r="C225" s="11">
        <v>44984.694988425923</v>
      </c>
      <c r="D225" s="11">
        <v>44984.70239583333</v>
      </c>
      <c r="E225" t="s">
        <v>47</v>
      </c>
      <c r="F225" t="s">
        <v>48</v>
      </c>
      <c r="G225" t="s">
        <v>15</v>
      </c>
      <c r="H225">
        <v>13008</v>
      </c>
      <c r="I225">
        <v>41.881833</v>
      </c>
      <c r="J225">
        <v>-87.641008999999997</v>
      </c>
      <c r="K225">
        <v>41.881424000000003</v>
      </c>
      <c r="L225">
        <v>-87.624296999999999</v>
      </c>
      <c r="M225" t="s">
        <v>17</v>
      </c>
      <c r="N225" s="12">
        <v>7.4074074074074068E-3</v>
      </c>
      <c r="O225">
        <v>2</v>
      </c>
      <c r="P225" t="s">
        <v>555</v>
      </c>
    </row>
    <row r="226" spans="1:16" x14ac:dyDescent="0.25">
      <c r="A226" t="s">
        <v>110</v>
      </c>
      <c r="B226" t="s">
        <v>14</v>
      </c>
      <c r="C226" s="11">
        <v>44984.817013888889</v>
      </c>
      <c r="D226" s="11">
        <v>44984.82440972222</v>
      </c>
      <c r="E226" t="s">
        <v>19</v>
      </c>
      <c r="F226" t="s">
        <v>20</v>
      </c>
      <c r="G226" t="s">
        <v>66</v>
      </c>
      <c r="H226">
        <v>13042</v>
      </c>
      <c r="I226">
        <v>41.926561</v>
      </c>
      <c r="J226">
        <v>-87.631322999999995</v>
      </c>
      <c r="K226">
        <v>41.901221999999997</v>
      </c>
      <c r="L226">
        <v>-87.623384000000001</v>
      </c>
      <c r="M226" t="s">
        <v>17</v>
      </c>
      <c r="N226" s="12">
        <v>7.3958333333333341E-3</v>
      </c>
      <c r="O226">
        <v>2</v>
      </c>
      <c r="P226" t="s">
        <v>555</v>
      </c>
    </row>
    <row r="227" spans="1:16" x14ac:dyDescent="0.25">
      <c r="A227" t="s">
        <v>113</v>
      </c>
      <c r="B227" t="s">
        <v>37</v>
      </c>
      <c r="C227" s="11">
        <v>44986.918715277781</v>
      </c>
      <c r="D227" s="11">
        <v>44986.925324074073</v>
      </c>
      <c r="E227" t="s">
        <v>21</v>
      </c>
      <c r="F227">
        <v>21213</v>
      </c>
      <c r="G227" t="s">
        <v>33</v>
      </c>
      <c r="H227" t="s">
        <v>34</v>
      </c>
      <c r="I227">
        <v>41.834896000000001</v>
      </c>
      <c r="J227">
        <v>-87.625828999999996</v>
      </c>
      <c r="K227">
        <v>41.886481000000003</v>
      </c>
      <c r="L227">
        <v>-87.612509000000003</v>
      </c>
      <c r="M227" t="s">
        <v>17</v>
      </c>
      <c r="N227" s="12">
        <v>6.6087962962962966E-3</v>
      </c>
      <c r="O227">
        <v>4</v>
      </c>
      <c r="P227" t="s">
        <v>557</v>
      </c>
    </row>
    <row r="228" spans="1:16" x14ac:dyDescent="0.25">
      <c r="A228" t="s">
        <v>115</v>
      </c>
      <c r="B228" t="s">
        <v>14</v>
      </c>
      <c r="C228" s="11">
        <v>44988.128703703704</v>
      </c>
      <c r="D228" s="11">
        <v>44988.158622685187</v>
      </c>
      <c r="E228" t="s">
        <v>19</v>
      </c>
      <c r="F228" t="s">
        <v>20</v>
      </c>
      <c r="G228" t="s">
        <v>24</v>
      </c>
      <c r="H228">
        <v>13263</v>
      </c>
      <c r="I228">
        <v>41.926237</v>
      </c>
      <c r="J228">
        <v>-87.630786999999998</v>
      </c>
      <c r="K228">
        <v>41.884661000000001</v>
      </c>
      <c r="L228">
        <v>-87.619977000000006</v>
      </c>
      <c r="M228" t="s">
        <v>17</v>
      </c>
      <c r="N228" s="12">
        <v>2.991898148148148E-2</v>
      </c>
      <c r="O228">
        <v>6</v>
      </c>
      <c r="P228" t="s">
        <v>559</v>
      </c>
    </row>
    <row r="229" spans="1:16" x14ac:dyDescent="0.25">
      <c r="A229" t="s">
        <v>116</v>
      </c>
      <c r="B229" t="s">
        <v>26</v>
      </c>
      <c r="C229" s="11">
        <v>44988.614502314813</v>
      </c>
      <c r="D229" s="11">
        <v>44988.630011574074</v>
      </c>
      <c r="E229" t="s">
        <v>16</v>
      </c>
      <c r="F229">
        <v>13045</v>
      </c>
      <c r="G229" t="s">
        <v>30</v>
      </c>
      <c r="H229">
        <v>13137</v>
      </c>
      <c r="I229">
        <v>41.894027000000001</v>
      </c>
      <c r="J229">
        <v>-87.629603000000003</v>
      </c>
      <c r="K229">
        <v>41.937094000000002</v>
      </c>
      <c r="L229">
        <v>-87.644356999999999</v>
      </c>
      <c r="M229" t="s">
        <v>17</v>
      </c>
      <c r="N229" s="12">
        <v>1.5509259259259257E-2</v>
      </c>
      <c r="O229">
        <v>6</v>
      </c>
      <c r="P229" t="s">
        <v>559</v>
      </c>
    </row>
    <row r="230" spans="1:16" x14ac:dyDescent="0.25">
      <c r="A230" t="s">
        <v>118</v>
      </c>
      <c r="B230" t="s">
        <v>14</v>
      </c>
      <c r="C230" s="11">
        <v>44988.690798611111</v>
      </c>
      <c r="D230" s="11">
        <v>44988.69971064815</v>
      </c>
      <c r="E230" t="s">
        <v>47</v>
      </c>
      <c r="F230" t="s">
        <v>48</v>
      </c>
      <c r="G230" t="s">
        <v>66</v>
      </c>
      <c r="H230">
        <v>13042</v>
      </c>
      <c r="I230">
        <v>41.882562999999998</v>
      </c>
      <c r="J230">
        <v>-87.641284999999996</v>
      </c>
      <c r="K230">
        <v>41.900530000000003</v>
      </c>
      <c r="L230">
        <v>-87.624219999999994</v>
      </c>
      <c r="M230" t="s">
        <v>17</v>
      </c>
      <c r="N230" s="12">
        <v>8.9120370370370378E-3</v>
      </c>
      <c r="O230">
        <v>6</v>
      </c>
      <c r="P230" t="s">
        <v>559</v>
      </c>
    </row>
    <row r="231" spans="1:16" x14ac:dyDescent="0.25">
      <c r="A231" t="s">
        <v>121</v>
      </c>
      <c r="B231" t="s">
        <v>37</v>
      </c>
      <c r="C231" s="11">
        <v>44990.001979166664</v>
      </c>
      <c r="D231" s="11">
        <v>44990.011296296296</v>
      </c>
      <c r="E231" t="s">
        <v>21</v>
      </c>
      <c r="F231">
        <v>21213</v>
      </c>
      <c r="G231" t="s">
        <v>23</v>
      </c>
      <c r="H231">
        <v>13011</v>
      </c>
      <c r="I231">
        <v>41.834708999999997</v>
      </c>
      <c r="J231">
        <v>-87.625415000000004</v>
      </c>
      <c r="K231">
        <v>41.879280000000001</v>
      </c>
      <c r="L231">
        <v>-87.639696999999998</v>
      </c>
      <c r="M231" t="s">
        <v>17</v>
      </c>
      <c r="N231" s="12">
        <v>9.3171296296296283E-3</v>
      </c>
      <c r="O231">
        <v>1</v>
      </c>
      <c r="P231" t="s">
        <v>554</v>
      </c>
    </row>
    <row r="232" spans="1:16" x14ac:dyDescent="0.25">
      <c r="A232" t="s">
        <v>122</v>
      </c>
      <c r="B232" t="s">
        <v>26</v>
      </c>
      <c r="C232" s="11">
        <v>44990.511932870373</v>
      </c>
      <c r="D232" s="11">
        <v>44990.514907407407</v>
      </c>
      <c r="E232" t="s">
        <v>19</v>
      </c>
      <c r="F232" t="s">
        <v>20</v>
      </c>
      <c r="G232" t="s">
        <v>35</v>
      </c>
      <c r="H232">
        <v>13022</v>
      </c>
      <c r="I232">
        <v>41.925787</v>
      </c>
      <c r="J232">
        <v>-87.630476000000002</v>
      </c>
      <c r="K232">
        <v>41.892508999999997</v>
      </c>
      <c r="L232">
        <v>-87.611596000000006</v>
      </c>
      <c r="M232" t="s">
        <v>17</v>
      </c>
      <c r="N232" s="12">
        <v>2.9745370370370373E-3</v>
      </c>
      <c r="O232">
        <v>1</v>
      </c>
      <c r="P232" t="s">
        <v>554</v>
      </c>
    </row>
    <row r="233" spans="1:16" x14ac:dyDescent="0.25">
      <c r="A233" t="s">
        <v>124</v>
      </c>
      <c r="B233" t="s">
        <v>14</v>
      </c>
      <c r="C233" s="11">
        <v>44992.929178240738</v>
      </c>
      <c r="D233" s="11">
        <v>44992.934189814812</v>
      </c>
      <c r="E233" t="s">
        <v>15</v>
      </c>
      <c r="F233">
        <v>13008</v>
      </c>
      <c r="G233" t="s">
        <v>16</v>
      </c>
      <c r="H233">
        <v>13045</v>
      </c>
      <c r="I233">
        <v>41.881354000000002</v>
      </c>
      <c r="J233">
        <v>-87.624450999999993</v>
      </c>
      <c r="K233">
        <v>41.894354</v>
      </c>
      <c r="L233">
        <v>-87.628895</v>
      </c>
      <c r="M233" t="s">
        <v>17</v>
      </c>
      <c r="N233" s="12">
        <v>5.0115740740740737E-3</v>
      </c>
      <c r="O233">
        <v>3</v>
      </c>
      <c r="P233" t="s">
        <v>556</v>
      </c>
    </row>
    <row r="234" spans="1:16" x14ac:dyDescent="0.25">
      <c r="A234" t="s">
        <v>126</v>
      </c>
      <c r="B234" t="s">
        <v>14</v>
      </c>
      <c r="C234" s="11">
        <v>44996.628217592595</v>
      </c>
      <c r="D234" s="11">
        <v>44996.631550925929</v>
      </c>
      <c r="E234" t="s">
        <v>23</v>
      </c>
      <c r="F234">
        <v>13011</v>
      </c>
      <c r="G234" t="s">
        <v>23</v>
      </c>
      <c r="H234">
        <v>13011</v>
      </c>
      <c r="I234">
        <v>41.879555000000003</v>
      </c>
      <c r="J234">
        <v>-87.640169999999998</v>
      </c>
      <c r="K234">
        <v>41.879294999999999</v>
      </c>
      <c r="L234">
        <v>-87.639523999999994</v>
      </c>
      <c r="M234" t="s">
        <v>17</v>
      </c>
      <c r="N234" s="12">
        <v>3.3333333333333335E-3</v>
      </c>
      <c r="O234">
        <v>7</v>
      </c>
      <c r="P234" t="s">
        <v>560</v>
      </c>
    </row>
    <row r="235" spans="1:16" x14ac:dyDescent="0.25">
      <c r="A235" t="s">
        <v>127</v>
      </c>
      <c r="B235" t="s">
        <v>26</v>
      </c>
      <c r="C235" s="11">
        <v>44997.074386574073</v>
      </c>
      <c r="D235" s="11">
        <v>44997.090567129628</v>
      </c>
      <c r="E235" t="s">
        <v>41</v>
      </c>
      <c r="F235" t="s">
        <v>42</v>
      </c>
      <c r="G235" t="s">
        <v>24</v>
      </c>
      <c r="H235">
        <v>13263</v>
      </c>
      <c r="I235">
        <v>41.903409000000003</v>
      </c>
      <c r="J235">
        <v>-87.631107999999998</v>
      </c>
      <c r="K235">
        <v>41.884709000000001</v>
      </c>
      <c r="L235">
        <v>-87.619211000000007</v>
      </c>
      <c r="M235" t="s">
        <v>17</v>
      </c>
      <c r="N235" s="12">
        <v>1.6180555555555556E-2</v>
      </c>
      <c r="O235">
        <v>1</v>
      </c>
      <c r="P235" t="s">
        <v>554</v>
      </c>
    </row>
    <row r="236" spans="1:16" x14ac:dyDescent="0.25">
      <c r="A236" t="s">
        <v>128</v>
      </c>
      <c r="B236" t="s">
        <v>37</v>
      </c>
      <c r="C236" s="11">
        <v>44998.547326388885</v>
      </c>
      <c r="D236" s="11">
        <v>44998.554826388892</v>
      </c>
      <c r="E236" t="s">
        <v>21</v>
      </c>
      <c r="F236">
        <v>21213</v>
      </c>
      <c r="G236" t="s">
        <v>16</v>
      </c>
      <c r="H236">
        <v>13045</v>
      </c>
      <c r="I236">
        <v>41.835099</v>
      </c>
      <c r="J236">
        <v>-87.625711999999993</v>
      </c>
      <c r="K236">
        <v>41.894193000000001</v>
      </c>
      <c r="L236">
        <v>-87.629532999999995</v>
      </c>
      <c r="M236" t="s">
        <v>17</v>
      </c>
      <c r="N236" s="12">
        <v>7.5000000000000006E-3</v>
      </c>
      <c r="O236">
        <v>2</v>
      </c>
      <c r="P236" t="s">
        <v>555</v>
      </c>
    </row>
    <row r="237" spans="1:16" x14ac:dyDescent="0.25">
      <c r="A237" t="s">
        <v>130</v>
      </c>
      <c r="B237" t="s">
        <v>14</v>
      </c>
      <c r="C237" s="11">
        <v>44999.978136574071</v>
      </c>
      <c r="D237" s="11">
        <v>44999.986655092594</v>
      </c>
      <c r="E237" t="s">
        <v>66</v>
      </c>
      <c r="F237">
        <v>13042</v>
      </c>
      <c r="G237" t="s">
        <v>66</v>
      </c>
      <c r="H237">
        <v>13042</v>
      </c>
      <c r="I237">
        <v>41.901065000000003</v>
      </c>
      <c r="J237">
        <v>-87.623749000000004</v>
      </c>
      <c r="K237">
        <v>41.901017000000003</v>
      </c>
      <c r="L237">
        <v>-87.623299000000003</v>
      </c>
      <c r="M237" t="s">
        <v>17</v>
      </c>
      <c r="N237" s="12">
        <v>8.518518518518519E-3</v>
      </c>
      <c r="O237">
        <v>3</v>
      </c>
      <c r="P237" t="s">
        <v>556</v>
      </c>
    </row>
    <row r="238" spans="1:16" x14ac:dyDescent="0.25">
      <c r="A238" t="s">
        <v>132</v>
      </c>
      <c r="B238" t="s">
        <v>26</v>
      </c>
      <c r="C238" s="11">
        <v>45000.156018518515</v>
      </c>
      <c r="D238" s="11">
        <v>45000.200601851851</v>
      </c>
      <c r="E238" t="s">
        <v>43</v>
      </c>
      <c r="F238" t="s">
        <v>44</v>
      </c>
      <c r="G238" t="s">
        <v>43</v>
      </c>
      <c r="H238" t="s">
        <v>44</v>
      </c>
      <c r="I238">
        <v>41.903010999999999</v>
      </c>
      <c r="J238">
        <v>-87.634715</v>
      </c>
      <c r="K238">
        <v>41.903373000000002</v>
      </c>
      <c r="L238">
        <v>-87.634058999999993</v>
      </c>
      <c r="M238" t="s">
        <v>17</v>
      </c>
      <c r="N238" s="12">
        <v>4.4583333333333336E-2</v>
      </c>
      <c r="O238">
        <v>4</v>
      </c>
      <c r="P238" t="s">
        <v>557</v>
      </c>
    </row>
    <row r="239" spans="1:16" x14ac:dyDescent="0.25">
      <c r="A239" t="s">
        <v>133</v>
      </c>
      <c r="B239" t="s">
        <v>26</v>
      </c>
      <c r="C239" s="11">
        <v>45000.338460648149</v>
      </c>
      <c r="D239" s="11">
        <v>45000.345173611109</v>
      </c>
      <c r="E239" t="s">
        <v>15</v>
      </c>
      <c r="F239">
        <v>13008</v>
      </c>
      <c r="G239" t="s">
        <v>30</v>
      </c>
      <c r="H239">
        <v>13137</v>
      </c>
      <c r="I239">
        <v>41.881329999999998</v>
      </c>
      <c r="J239">
        <v>-87.624188000000004</v>
      </c>
      <c r="K239">
        <v>41.937997000000003</v>
      </c>
      <c r="L239">
        <v>-87.644064999999998</v>
      </c>
      <c r="M239" t="s">
        <v>17</v>
      </c>
      <c r="N239" s="12">
        <v>6.7129629629629622E-3</v>
      </c>
      <c r="O239">
        <v>4</v>
      </c>
      <c r="P239" t="s">
        <v>557</v>
      </c>
    </row>
    <row r="240" spans="1:16" x14ac:dyDescent="0.25">
      <c r="A240" t="s">
        <v>134</v>
      </c>
      <c r="B240" t="s">
        <v>37</v>
      </c>
      <c r="C240" s="11">
        <v>45002.49318287037</v>
      </c>
      <c r="D240" s="11">
        <v>45002.497870370367</v>
      </c>
      <c r="E240" t="s">
        <v>19</v>
      </c>
      <c r="F240" t="s">
        <v>20</v>
      </c>
      <c r="G240" t="s">
        <v>41</v>
      </c>
      <c r="H240" t="s">
        <v>42</v>
      </c>
      <c r="I240">
        <v>41.926065999999999</v>
      </c>
      <c r="J240">
        <v>-87.630381999999997</v>
      </c>
      <c r="K240">
        <v>41.902523000000002</v>
      </c>
      <c r="L240">
        <v>-87.631630000000001</v>
      </c>
      <c r="M240" t="s">
        <v>17</v>
      </c>
      <c r="N240" s="12">
        <v>4.6874999999999998E-3</v>
      </c>
      <c r="O240">
        <v>6</v>
      </c>
      <c r="P240" t="s">
        <v>559</v>
      </c>
    </row>
    <row r="241" spans="1:16" x14ac:dyDescent="0.25">
      <c r="A241" t="s">
        <v>135</v>
      </c>
      <c r="B241" t="s">
        <v>37</v>
      </c>
      <c r="C241" s="11">
        <v>45003.018136574072</v>
      </c>
      <c r="D241" s="11">
        <v>45003.034143518518</v>
      </c>
      <c r="E241" t="s">
        <v>35</v>
      </c>
      <c r="F241">
        <v>13022</v>
      </c>
      <c r="G241" t="s">
        <v>27</v>
      </c>
      <c r="H241" t="s">
        <v>28</v>
      </c>
      <c r="I241">
        <v>41.892437000000001</v>
      </c>
      <c r="J241">
        <v>-87.612149000000002</v>
      </c>
      <c r="K241">
        <v>41.889327999999999</v>
      </c>
      <c r="L241">
        <v>-87.638898999999995</v>
      </c>
      <c r="M241" t="s">
        <v>17</v>
      </c>
      <c r="N241" s="12">
        <v>1.6006944444444445E-2</v>
      </c>
      <c r="O241">
        <v>7</v>
      </c>
      <c r="P241" t="s">
        <v>560</v>
      </c>
    </row>
    <row r="242" spans="1:16" x14ac:dyDescent="0.25">
      <c r="A242" t="s">
        <v>137</v>
      </c>
      <c r="B242" t="s">
        <v>14</v>
      </c>
      <c r="C242" s="11">
        <v>45005.054930555554</v>
      </c>
      <c r="D242" s="11">
        <v>45005.064664351848</v>
      </c>
      <c r="E242" t="s">
        <v>16</v>
      </c>
      <c r="F242">
        <v>13045</v>
      </c>
      <c r="G242" t="s">
        <v>16</v>
      </c>
      <c r="H242">
        <v>13045</v>
      </c>
      <c r="I242">
        <v>41.893939000000003</v>
      </c>
      <c r="J242">
        <v>-87.628988000000007</v>
      </c>
      <c r="K242">
        <v>41.894146999999997</v>
      </c>
      <c r="L242">
        <v>-87.629407</v>
      </c>
      <c r="M242" t="s">
        <v>17</v>
      </c>
      <c r="N242" s="12">
        <v>9.7337962962962977E-3</v>
      </c>
      <c r="O242">
        <v>2</v>
      </c>
      <c r="P242" t="s">
        <v>555</v>
      </c>
    </row>
    <row r="243" spans="1:16" x14ac:dyDescent="0.25">
      <c r="A243" t="s">
        <v>138</v>
      </c>
      <c r="B243" t="s">
        <v>14</v>
      </c>
      <c r="C243" s="11">
        <v>45005.193761574075</v>
      </c>
      <c r="D243" s="11">
        <v>45005.207800925928</v>
      </c>
      <c r="E243" t="s">
        <v>21</v>
      </c>
      <c r="F243">
        <v>21213</v>
      </c>
      <c r="G243" t="s">
        <v>57</v>
      </c>
      <c r="H243" t="s">
        <v>58</v>
      </c>
      <c r="I243">
        <v>41.834921000000001</v>
      </c>
      <c r="J243">
        <v>-87.625468999999995</v>
      </c>
      <c r="K243">
        <v>41.912382999999998</v>
      </c>
      <c r="L243">
        <v>-87.635126</v>
      </c>
      <c r="M243" t="s">
        <v>17</v>
      </c>
      <c r="N243" s="12">
        <v>1.4039351851851851E-2</v>
      </c>
      <c r="O243">
        <v>2</v>
      </c>
      <c r="P243" t="s">
        <v>555</v>
      </c>
    </row>
    <row r="244" spans="1:16" x14ac:dyDescent="0.25">
      <c r="A244" t="s">
        <v>143</v>
      </c>
      <c r="B244" t="s">
        <v>37</v>
      </c>
      <c r="C244" s="11">
        <v>45012.098009259258</v>
      </c>
      <c r="D244" s="11">
        <v>45012.102060185185</v>
      </c>
      <c r="E244" t="s">
        <v>47</v>
      </c>
      <c r="F244" t="s">
        <v>48</v>
      </c>
      <c r="G244" t="s">
        <v>24</v>
      </c>
      <c r="H244">
        <v>13263</v>
      </c>
      <c r="I244">
        <v>41.882620000000003</v>
      </c>
      <c r="J244">
        <v>-87.640809000000004</v>
      </c>
      <c r="K244">
        <v>41.884275000000002</v>
      </c>
      <c r="L244">
        <v>-87.619752000000005</v>
      </c>
      <c r="M244" t="s">
        <v>17</v>
      </c>
      <c r="N244" s="12">
        <v>4.0509259259259257E-3</v>
      </c>
      <c r="O244">
        <v>2</v>
      </c>
      <c r="P244" t="s">
        <v>555</v>
      </c>
    </row>
    <row r="245" spans="1:16" x14ac:dyDescent="0.25">
      <c r="A245" t="s">
        <v>144</v>
      </c>
      <c r="B245" t="s">
        <v>14</v>
      </c>
      <c r="C245" s="11">
        <v>45012.816990740743</v>
      </c>
      <c r="D245" s="11">
        <v>45012.820509259262</v>
      </c>
      <c r="E245" t="s">
        <v>27</v>
      </c>
      <c r="F245" t="s">
        <v>28</v>
      </c>
      <c r="G245" t="s">
        <v>27</v>
      </c>
      <c r="H245" t="s">
        <v>28</v>
      </c>
      <c r="I245">
        <v>41.889532000000003</v>
      </c>
      <c r="J245">
        <v>-87.638301999999996</v>
      </c>
      <c r="K245">
        <v>41.889150999999998</v>
      </c>
      <c r="L245">
        <v>-87.638908000000001</v>
      </c>
      <c r="M245" t="s">
        <v>17</v>
      </c>
      <c r="N245" s="12">
        <v>3.5185185185185185E-3</v>
      </c>
      <c r="O245">
        <v>2</v>
      </c>
      <c r="P245" t="s">
        <v>555</v>
      </c>
    </row>
    <row r="246" spans="1:16" x14ac:dyDescent="0.25">
      <c r="A246" t="s">
        <v>145</v>
      </c>
      <c r="B246" t="s">
        <v>37</v>
      </c>
      <c r="C246" s="11">
        <v>45013.132569444446</v>
      </c>
      <c r="D246" s="11">
        <v>45013.142152777778</v>
      </c>
      <c r="E246" t="s">
        <v>24</v>
      </c>
      <c r="F246">
        <v>13263</v>
      </c>
      <c r="G246" t="s">
        <v>21</v>
      </c>
      <c r="H246">
        <v>21213</v>
      </c>
      <c r="I246">
        <v>41.885223000000003</v>
      </c>
      <c r="J246">
        <v>-87.619164999999995</v>
      </c>
      <c r="K246">
        <v>41.834755000000001</v>
      </c>
      <c r="L246">
        <v>-87.626249000000001</v>
      </c>
      <c r="M246" t="s">
        <v>17</v>
      </c>
      <c r="N246" s="12">
        <v>9.5833333333333343E-3</v>
      </c>
      <c r="O246">
        <v>3</v>
      </c>
      <c r="P246" t="s">
        <v>556</v>
      </c>
    </row>
    <row r="247" spans="1:16" x14ac:dyDescent="0.25">
      <c r="A247" t="s">
        <v>146</v>
      </c>
      <c r="B247" t="s">
        <v>37</v>
      </c>
      <c r="C247" s="11">
        <v>45013.362500000003</v>
      </c>
      <c r="D247" s="11">
        <v>45013.365543981483</v>
      </c>
      <c r="E247" t="s">
        <v>66</v>
      </c>
      <c r="F247">
        <v>13042</v>
      </c>
      <c r="G247" t="s">
        <v>66</v>
      </c>
      <c r="H247">
        <v>13042</v>
      </c>
      <c r="I247">
        <v>41.901417000000002</v>
      </c>
      <c r="J247">
        <v>-87.623538999999994</v>
      </c>
      <c r="K247">
        <v>41.900812999999999</v>
      </c>
      <c r="L247">
        <v>-87.623980000000003</v>
      </c>
      <c r="M247" t="s">
        <v>17</v>
      </c>
      <c r="N247" s="12">
        <v>3.0439814814814821E-3</v>
      </c>
      <c r="O247">
        <v>3</v>
      </c>
      <c r="P247" t="s">
        <v>556</v>
      </c>
    </row>
    <row r="248" spans="1:16" x14ac:dyDescent="0.25">
      <c r="A248" t="s">
        <v>148</v>
      </c>
      <c r="B248" t="s">
        <v>14</v>
      </c>
      <c r="C248" s="11">
        <v>45014.129282407404</v>
      </c>
      <c r="D248" s="11">
        <v>45014.141458333332</v>
      </c>
      <c r="E248" t="s">
        <v>33</v>
      </c>
      <c r="F248" t="s">
        <v>34</v>
      </c>
      <c r="G248" t="s">
        <v>41</v>
      </c>
      <c r="H248" t="s">
        <v>42</v>
      </c>
      <c r="I248">
        <v>41.886986999999998</v>
      </c>
      <c r="J248">
        <v>-87.612708999999995</v>
      </c>
      <c r="K248">
        <v>41.902934000000002</v>
      </c>
      <c r="L248">
        <v>-87.630950999999996</v>
      </c>
      <c r="M248" t="s">
        <v>17</v>
      </c>
      <c r="N248" s="12">
        <v>1.2175925925925929E-2</v>
      </c>
      <c r="O248">
        <v>4</v>
      </c>
      <c r="P248" t="s">
        <v>557</v>
      </c>
    </row>
    <row r="249" spans="1:16" x14ac:dyDescent="0.25">
      <c r="A249" t="s">
        <v>152</v>
      </c>
      <c r="B249" t="s">
        <v>14</v>
      </c>
      <c r="C249" s="11">
        <v>45020.341805555552</v>
      </c>
      <c r="D249" s="11">
        <v>45020.352083333331</v>
      </c>
      <c r="E249" t="s">
        <v>19</v>
      </c>
      <c r="F249" t="s">
        <v>20</v>
      </c>
      <c r="G249" t="s">
        <v>19</v>
      </c>
      <c r="H249" t="s">
        <v>20</v>
      </c>
      <c r="I249">
        <v>41.926360000000003</v>
      </c>
      <c r="J249">
        <v>-87.630741</v>
      </c>
      <c r="K249">
        <v>41.926132000000003</v>
      </c>
      <c r="L249">
        <v>-87.631281999999999</v>
      </c>
      <c r="M249" t="s">
        <v>17</v>
      </c>
      <c r="N249" s="12">
        <v>1.0277777777777778E-2</v>
      </c>
      <c r="O249">
        <v>3</v>
      </c>
      <c r="P249" t="s">
        <v>556</v>
      </c>
    </row>
    <row r="250" spans="1:16" x14ac:dyDescent="0.25">
      <c r="A250" t="s">
        <v>153</v>
      </c>
      <c r="B250" t="s">
        <v>26</v>
      </c>
      <c r="C250" s="11">
        <v>45021.515231481484</v>
      </c>
      <c r="D250" s="11">
        <v>45021.536724537036</v>
      </c>
      <c r="E250" t="s">
        <v>21</v>
      </c>
      <c r="F250">
        <v>21213</v>
      </c>
      <c r="G250" t="s">
        <v>27</v>
      </c>
      <c r="H250" t="s">
        <v>28</v>
      </c>
      <c r="I250">
        <v>41.834291</v>
      </c>
      <c r="J250">
        <v>-87.625382000000002</v>
      </c>
      <c r="K250">
        <v>41.888728</v>
      </c>
      <c r="L250">
        <v>-87.638458999999997</v>
      </c>
      <c r="M250" t="s">
        <v>17</v>
      </c>
      <c r="N250" s="12">
        <v>2.1493055555555557E-2</v>
      </c>
      <c r="O250">
        <v>4</v>
      </c>
      <c r="P250" t="s">
        <v>557</v>
      </c>
    </row>
    <row r="251" spans="1:16" x14ac:dyDescent="0.25">
      <c r="A251" t="s">
        <v>158</v>
      </c>
      <c r="B251" t="s">
        <v>26</v>
      </c>
      <c r="C251" s="11">
        <v>45024.811793981484</v>
      </c>
      <c r="D251" s="11">
        <v>45024.818692129629</v>
      </c>
      <c r="E251" t="s">
        <v>27</v>
      </c>
      <c r="F251" t="s">
        <v>28</v>
      </c>
      <c r="G251" t="s">
        <v>21</v>
      </c>
      <c r="H251">
        <v>21213</v>
      </c>
      <c r="I251">
        <v>41.889133999999999</v>
      </c>
      <c r="J251">
        <v>-87.638531</v>
      </c>
      <c r="K251">
        <v>41.834620000000001</v>
      </c>
      <c r="L251">
        <v>-87.625345999999993</v>
      </c>
      <c r="M251" t="s">
        <v>17</v>
      </c>
      <c r="N251" s="12">
        <v>6.8981481481481489E-3</v>
      </c>
      <c r="O251">
        <v>7</v>
      </c>
      <c r="P251" t="s">
        <v>560</v>
      </c>
    </row>
    <row r="252" spans="1:16" x14ac:dyDescent="0.25">
      <c r="A252" t="s">
        <v>159</v>
      </c>
      <c r="B252" t="s">
        <v>14</v>
      </c>
      <c r="C252" s="11">
        <v>45025.365717592591</v>
      </c>
      <c r="D252" s="11">
        <v>45025.379270833335</v>
      </c>
      <c r="E252" t="s">
        <v>66</v>
      </c>
      <c r="F252">
        <v>13042</v>
      </c>
      <c r="G252" t="s">
        <v>57</v>
      </c>
      <c r="H252" t="s">
        <v>58</v>
      </c>
      <c r="I252">
        <v>41.900739999999999</v>
      </c>
      <c r="J252">
        <v>-87.623711999999998</v>
      </c>
      <c r="K252">
        <v>41.911721</v>
      </c>
      <c r="L252">
        <v>-87.634742000000003</v>
      </c>
      <c r="M252" t="s">
        <v>17</v>
      </c>
      <c r="N252" s="12">
        <v>1.3553240740740741E-2</v>
      </c>
      <c r="O252">
        <v>1</v>
      </c>
      <c r="P252" t="s">
        <v>554</v>
      </c>
    </row>
    <row r="253" spans="1:16" x14ac:dyDescent="0.25">
      <c r="A253" t="s">
        <v>160</v>
      </c>
      <c r="B253" t="s">
        <v>26</v>
      </c>
      <c r="C253" s="11">
        <v>45025.436203703706</v>
      </c>
      <c r="D253" s="11">
        <v>45025.452002314814</v>
      </c>
      <c r="E253" t="s">
        <v>66</v>
      </c>
      <c r="F253">
        <v>13042</v>
      </c>
      <c r="G253" t="s">
        <v>66</v>
      </c>
      <c r="H253">
        <v>13042</v>
      </c>
      <c r="I253">
        <v>41.901152000000003</v>
      </c>
      <c r="J253">
        <v>-87.623659000000004</v>
      </c>
      <c r="K253">
        <v>41.901093000000003</v>
      </c>
      <c r="L253">
        <v>-87.624048000000002</v>
      </c>
      <c r="M253" t="s">
        <v>17</v>
      </c>
      <c r="N253" s="12">
        <v>1.579861111111111E-2</v>
      </c>
      <c r="O253">
        <v>1</v>
      </c>
      <c r="P253" t="s">
        <v>554</v>
      </c>
    </row>
    <row r="254" spans="1:16" x14ac:dyDescent="0.25">
      <c r="A254" t="s">
        <v>163</v>
      </c>
      <c r="B254" t="s">
        <v>37</v>
      </c>
      <c r="C254" s="11">
        <v>45027.05259259259</v>
      </c>
      <c r="D254" s="11">
        <v>45027.058310185188</v>
      </c>
      <c r="E254" t="s">
        <v>57</v>
      </c>
      <c r="F254" t="s">
        <v>58</v>
      </c>
      <c r="G254" t="s">
        <v>57</v>
      </c>
      <c r="H254" t="s">
        <v>58</v>
      </c>
      <c r="I254">
        <v>41.911743000000001</v>
      </c>
      <c r="J254">
        <v>-87.634765999999999</v>
      </c>
      <c r="K254">
        <v>41.911873999999997</v>
      </c>
      <c r="L254">
        <v>-87.635140000000007</v>
      </c>
      <c r="M254" t="s">
        <v>17</v>
      </c>
      <c r="N254" s="12">
        <v>5.7175925925925927E-3</v>
      </c>
      <c r="O254">
        <v>3</v>
      </c>
      <c r="P254" t="s">
        <v>556</v>
      </c>
    </row>
    <row r="255" spans="1:16" x14ac:dyDescent="0.25">
      <c r="A255" t="s">
        <v>165</v>
      </c>
      <c r="B255" t="s">
        <v>14</v>
      </c>
      <c r="C255" s="11">
        <v>45027.769756944443</v>
      </c>
      <c r="D255" s="11">
        <v>45027.779942129629</v>
      </c>
      <c r="E255" t="s">
        <v>33</v>
      </c>
      <c r="F255" t="s">
        <v>34</v>
      </c>
      <c r="G255" t="s">
        <v>33</v>
      </c>
      <c r="H255" t="s">
        <v>34</v>
      </c>
      <c r="I255">
        <v>41.886892000000003</v>
      </c>
      <c r="J255">
        <v>-87.612404999999995</v>
      </c>
      <c r="K255">
        <v>41.886718999999999</v>
      </c>
      <c r="L255">
        <v>-87.613221999999993</v>
      </c>
      <c r="M255" t="s">
        <v>17</v>
      </c>
      <c r="N255" s="12">
        <v>1.0185185185185184E-2</v>
      </c>
      <c r="O255">
        <v>3</v>
      </c>
      <c r="P255" t="s">
        <v>556</v>
      </c>
    </row>
    <row r="256" spans="1:16" x14ac:dyDescent="0.25">
      <c r="A256" t="s">
        <v>167</v>
      </c>
      <c r="B256" t="s">
        <v>14</v>
      </c>
      <c r="C256" s="11">
        <v>45028.152557870373</v>
      </c>
      <c r="D256" s="11">
        <v>45028.168761574074</v>
      </c>
      <c r="E256" t="s">
        <v>30</v>
      </c>
      <c r="F256">
        <v>13137</v>
      </c>
      <c r="G256" t="s">
        <v>30</v>
      </c>
      <c r="H256">
        <v>13137</v>
      </c>
      <c r="I256">
        <v>41.937930000000001</v>
      </c>
      <c r="J256">
        <v>-87.643868999999995</v>
      </c>
      <c r="K256">
        <v>41.937176999999998</v>
      </c>
      <c r="L256">
        <v>-87.644169000000005</v>
      </c>
      <c r="M256" t="s">
        <v>17</v>
      </c>
      <c r="N256" s="12">
        <v>1.6203703703703703E-2</v>
      </c>
      <c r="O256">
        <v>4</v>
      </c>
      <c r="P256" t="s">
        <v>557</v>
      </c>
    </row>
    <row r="257" spans="1:16" x14ac:dyDescent="0.25">
      <c r="A257" t="s">
        <v>170</v>
      </c>
      <c r="B257" t="s">
        <v>37</v>
      </c>
      <c r="C257" s="11">
        <v>45029.376921296294</v>
      </c>
      <c r="D257" s="11">
        <v>45029.380115740743</v>
      </c>
      <c r="E257" t="s">
        <v>33</v>
      </c>
      <c r="F257" t="s">
        <v>34</v>
      </c>
      <c r="G257" t="s">
        <v>30</v>
      </c>
      <c r="H257">
        <v>13137</v>
      </c>
      <c r="I257">
        <v>41.886665999999998</v>
      </c>
      <c r="J257">
        <v>-87.612945999999994</v>
      </c>
      <c r="K257">
        <v>41.937187999999999</v>
      </c>
      <c r="L257">
        <v>-87.643969999999996</v>
      </c>
      <c r="M257" t="s">
        <v>17</v>
      </c>
      <c r="N257" s="12">
        <v>3.1944444444444442E-3</v>
      </c>
      <c r="O257">
        <v>5</v>
      </c>
      <c r="P257" t="s">
        <v>558</v>
      </c>
    </row>
    <row r="258" spans="1:16" x14ac:dyDescent="0.25">
      <c r="A258" t="s">
        <v>172</v>
      </c>
      <c r="B258" t="s">
        <v>37</v>
      </c>
      <c r="C258" s="11">
        <v>45030.61482638889</v>
      </c>
      <c r="D258" s="11">
        <v>45030.6247337963</v>
      </c>
      <c r="E258" t="s">
        <v>47</v>
      </c>
      <c r="F258" t="s">
        <v>48</v>
      </c>
      <c r="G258" t="s">
        <v>33</v>
      </c>
      <c r="H258" t="s">
        <v>34</v>
      </c>
      <c r="I258">
        <v>41.881760999999997</v>
      </c>
      <c r="J258">
        <v>-87.640787000000003</v>
      </c>
      <c r="K258">
        <v>41.887085999999996</v>
      </c>
      <c r="L258">
        <v>-87.612612999999996</v>
      </c>
      <c r="M258" t="s">
        <v>17</v>
      </c>
      <c r="N258" s="12">
        <v>9.9074074074074082E-3</v>
      </c>
      <c r="O258">
        <v>6</v>
      </c>
      <c r="P258" t="s">
        <v>559</v>
      </c>
    </row>
    <row r="259" spans="1:16" x14ac:dyDescent="0.25">
      <c r="A259" t="s">
        <v>174</v>
      </c>
      <c r="B259" t="s">
        <v>37</v>
      </c>
      <c r="C259" s="11">
        <v>45032.158784722225</v>
      </c>
      <c r="D259" s="11">
        <v>45032.166898148149</v>
      </c>
      <c r="E259" t="s">
        <v>43</v>
      </c>
      <c r="F259" t="s">
        <v>44</v>
      </c>
      <c r="G259" t="s">
        <v>43</v>
      </c>
      <c r="H259" t="s">
        <v>44</v>
      </c>
      <c r="I259">
        <v>41.903275999999998</v>
      </c>
      <c r="J259">
        <v>-87.634310999999997</v>
      </c>
      <c r="K259">
        <v>41.903002999999998</v>
      </c>
      <c r="L259">
        <v>-87.634001999999995</v>
      </c>
      <c r="M259" t="s">
        <v>17</v>
      </c>
      <c r="N259" s="12">
        <v>8.113425925925925E-3</v>
      </c>
      <c r="O259">
        <v>1</v>
      </c>
      <c r="P259" t="s">
        <v>554</v>
      </c>
    </row>
    <row r="260" spans="1:16" x14ac:dyDescent="0.25">
      <c r="A260" t="s">
        <v>175</v>
      </c>
      <c r="B260" t="s">
        <v>37</v>
      </c>
      <c r="C260" s="11">
        <v>45033.145300925928</v>
      </c>
      <c r="D260" s="11">
        <v>45033.153298611112</v>
      </c>
      <c r="E260" t="s">
        <v>43</v>
      </c>
      <c r="F260" t="s">
        <v>44</v>
      </c>
      <c r="G260" t="s">
        <v>15</v>
      </c>
      <c r="H260">
        <v>13008</v>
      </c>
      <c r="I260">
        <v>41.902937000000001</v>
      </c>
      <c r="J260">
        <v>-87.633939999999996</v>
      </c>
      <c r="K260">
        <v>41.881090999999998</v>
      </c>
      <c r="L260">
        <v>-87.623756</v>
      </c>
      <c r="M260" t="s">
        <v>17</v>
      </c>
      <c r="N260" s="12">
        <v>7.9976851851851858E-3</v>
      </c>
      <c r="O260">
        <v>2</v>
      </c>
      <c r="P260" t="s">
        <v>555</v>
      </c>
    </row>
    <row r="261" spans="1:16" x14ac:dyDescent="0.25">
      <c r="A261" t="s">
        <v>176</v>
      </c>
      <c r="B261" t="s">
        <v>37</v>
      </c>
      <c r="C261" s="11">
        <v>45033.232106481482</v>
      </c>
      <c r="D261" s="11">
        <v>45033.241574074076</v>
      </c>
      <c r="E261" t="s">
        <v>47</v>
      </c>
      <c r="F261" t="s">
        <v>48</v>
      </c>
      <c r="G261" t="s">
        <v>43</v>
      </c>
      <c r="H261" t="s">
        <v>44</v>
      </c>
      <c r="I261">
        <v>41.882682000000003</v>
      </c>
      <c r="J261">
        <v>-87.641549999999995</v>
      </c>
      <c r="K261">
        <v>41.903244999999998</v>
      </c>
      <c r="L261">
        <v>-87.634353000000004</v>
      </c>
      <c r="M261" t="s">
        <v>17</v>
      </c>
      <c r="N261" s="12">
        <v>9.4675925925925917E-3</v>
      </c>
      <c r="O261">
        <v>2</v>
      </c>
      <c r="P261" t="s">
        <v>555</v>
      </c>
    </row>
    <row r="262" spans="1:16" x14ac:dyDescent="0.25">
      <c r="A262" t="s">
        <v>177</v>
      </c>
      <c r="B262" t="s">
        <v>37</v>
      </c>
      <c r="C262" s="11">
        <v>45034.463703703703</v>
      </c>
      <c r="D262" s="11">
        <v>45034.466898148145</v>
      </c>
      <c r="E262" t="s">
        <v>21</v>
      </c>
      <c r="F262">
        <v>21213</v>
      </c>
      <c r="G262" t="s">
        <v>57</v>
      </c>
      <c r="H262" t="s">
        <v>58</v>
      </c>
      <c r="I262">
        <v>41.834637999999998</v>
      </c>
      <c r="J262">
        <v>-87.625741000000005</v>
      </c>
      <c r="K262">
        <v>41.912436999999997</v>
      </c>
      <c r="L262">
        <v>-87.634618000000003</v>
      </c>
      <c r="M262" t="s">
        <v>17</v>
      </c>
      <c r="N262" s="12">
        <v>3.1944444444444442E-3</v>
      </c>
      <c r="O262">
        <v>3</v>
      </c>
      <c r="P262" t="s">
        <v>556</v>
      </c>
    </row>
    <row r="263" spans="1:16" x14ac:dyDescent="0.25">
      <c r="A263" t="s">
        <v>178</v>
      </c>
      <c r="B263" t="s">
        <v>37</v>
      </c>
      <c r="C263" s="11">
        <v>45034.953483796293</v>
      </c>
      <c r="D263" s="11">
        <v>45034.956736111111</v>
      </c>
      <c r="E263" t="s">
        <v>33</v>
      </c>
      <c r="F263" t="s">
        <v>34</v>
      </c>
      <c r="G263" t="s">
        <v>33</v>
      </c>
      <c r="H263" t="s">
        <v>34</v>
      </c>
      <c r="I263">
        <v>41.887351000000002</v>
      </c>
      <c r="J263">
        <v>-87.612784000000005</v>
      </c>
      <c r="K263">
        <v>41.887414999999997</v>
      </c>
      <c r="L263">
        <v>-87.612514000000004</v>
      </c>
      <c r="M263" t="s">
        <v>17</v>
      </c>
      <c r="N263" s="12">
        <v>3.2523148148148151E-3</v>
      </c>
      <c r="O263">
        <v>3</v>
      </c>
      <c r="P263" t="s">
        <v>556</v>
      </c>
    </row>
    <row r="264" spans="1:16" x14ac:dyDescent="0.25">
      <c r="A264" t="s">
        <v>179</v>
      </c>
      <c r="B264" t="s">
        <v>14</v>
      </c>
      <c r="C264" s="11">
        <v>45036.172152777777</v>
      </c>
      <c r="D264" s="11">
        <v>45036.184710648151</v>
      </c>
      <c r="E264" t="s">
        <v>66</v>
      </c>
      <c r="F264">
        <v>13042</v>
      </c>
      <c r="G264" t="s">
        <v>35</v>
      </c>
      <c r="H264">
        <v>13022</v>
      </c>
      <c r="I264">
        <v>41.90137</v>
      </c>
      <c r="J264">
        <v>-87.624270999999993</v>
      </c>
      <c r="K264">
        <v>41.892589000000001</v>
      </c>
      <c r="L264">
        <v>-87.611594999999994</v>
      </c>
      <c r="M264" t="s">
        <v>17</v>
      </c>
      <c r="N264" s="12">
        <v>1.255787037037037E-2</v>
      </c>
      <c r="O264">
        <v>5</v>
      </c>
      <c r="P264" t="s">
        <v>558</v>
      </c>
    </row>
    <row r="265" spans="1:16" x14ac:dyDescent="0.25">
      <c r="A265" t="s">
        <v>181</v>
      </c>
      <c r="B265" t="s">
        <v>37</v>
      </c>
      <c r="C265" s="11">
        <v>45039.052870370368</v>
      </c>
      <c r="D265" s="11">
        <v>45039.062141203707</v>
      </c>
      <c r="E265" t="s">
        <v>16</v>
      </c>
      <c r="F265">
        <v>13045</v>
      </c>
      <c r="G265" t="s">
        <v>19</v>
      </c>
      <c r="H265" t="s">
        <v>20</v>
      </c>
      <c r="I265">
        <v>41.894325000000002</v>
      </c>
      <c r="J265">
        <v>-87.629807</v>
      </c>
      <c r="K265">
        <v>41.926527</v>
      </c>
      <c r="L265">
        <v>-87.630574999999993</v>
      </c>
      <c r="M265" t="s">
        <v>17</v>
      </c>
      <c r="N265" s="12">
        <v>9.2708333333333341E-3</v>
      </c>
      <c r="O265">
        <v>1</v>
      </c>
      <c r="P265" t="s">
        <v>554</v>
      </c>
    </row>
    <row r="266" spans="1:16" x14ac:dyDescent="0.25">
      <c r="A266" t="s">
        <v>183</v>
      </c>
      <c r="B266" t="s">
        <v>14</v>
      </c>
      <c r="C266" s="11">
        <v>45039.259432870371</v>
      </c>
      <c r="D266" s="11">
        <v>45039.263182870367</v>
      </c>
      <c r="E266" t="s">
        <v>16</v>
      </c>
      <c r="F266">
        <v>13045</v>
      </c>
      <c r="G266" t="s">
        <v>41</v>
      </c>
      <c r="H266" t="s">
        <v>42</v>
      </c>
      <c r="I266">
        <v>41.893633000000001</v>
      </c>
      <c r="J266">
        <v>-87.629688000000002</v>
      </c>
      <c r="K266">
        <v>41.903115999999997</v>
      </c>
      <c r="L266">
        <v>-87.631583000000006</v>
      </c>
      <c r="M266" t="s">
        <v>17</v>
      </c>
      <c r="N266" s="12">
        <v>3.7500000000000003E-3</v>
      </c>
      <c r="O266">
        <v>1</v>
      </c>
      <c r="P266" t="s">
        <v>554</v>
      </c>
    </row>
    <row r="267" spans="1:16" x14ac:dyDescent="0.25">
      <c r="A267" t="s">
        <v>186</v>
      </c>
      <c r="B267" t="s">
        <v>37</v>
      </c>
      <c r="C267" s="11">
        <v>45040.674293981479</v>
      </c>
      <c r="D267" s="11">
        <v>45040.68509259259</v>
      </c>
      <c r="E267" t="s">
        <v>43</v>
      </c>
      <c r="F267" t="s">
        <v>44</v>
      </c>
      <c r="G267" t="s">
        <v>66</v>
      </c>
      <c r="H267">
        <v>13042</v>
      </c>
      <c r="I267">
        <v>41.903573999999999</v>
      </c>
      <c r="J267">
        <v>-87.633960000000002</v>
      </c>
      <c r="K267">
        <v>41.900866999999998</v>
      </c>
      <c r="L267">
        <v>-87.623514999999998</v>
      </c>
      <c r="M267" t="s">
        <v>17</v>
      </c>
      <c r="N267" s="12">
        <v>1.0798611111111111E-2</v>
      </c>
      <c r="O267">
        <v>2</v>
      </c>
      <c r="P267" t="s">
        <v>555</v>
      </c>
    </row>
    <row r="268" spans="1:16" x14ac:dyDescent="0.25">
      <c r="A268" t="s">
        <v>188</v>
      </c>
      <c r="B268" t="s">
        <v>14</v>
      </c>
      <c r="C268" s="11">
        <v>45041.48609953704</v>
      </c>
      <c r="D268" s="11">
        <v>45041.489131944443</v>
      </c>
      <c r="E268" t="s">
        <v>43</v>
      </c>
      <c r="F268" t="s">
        <v>44</v>
      </c>
      <c r="G268" t="s">
        <v>43</v>
      </c>
      <c r="H268" t="s">
        <v>44</v>
      </c>
      <c r="I268">
        <v>41.903289000000001</v>
      </c>
      <c r="J268">
        <v>-87.633892000000003</v>
      </c>
      <c r="K268">
        <v>41.903388</v>
      </c>
      <c r="L268">
        <v>-87.634000999999998</v>
      </c>
      <c r="M268" t="s">
        <v>17</v>
      </c>
      <c r="N268" s="12">
        <v>3.0324074074074073E-3</v>
      </c>
      <c r="O268">
        <v>3</v>
      </c>
      <c r="P268" t="s">
        <v>556</v>
      </c>
    </row>
    <row r="269" spans="1:16" x14ac:dyDescent="0.25">
      <c r="A269" t="s">
        <v>189</v>
      </c>
      <c r="B269" t="s">
        <v>37</v>
      </c>
      <c r="C269" s="11">
        <v>45041.857349537036</v>
      </c>
      <c r="D269" s="11">
        <v>45041.866863425923</v>
      </c>
      <c r="E269" t="s">
        <v>21</v>
      </c>
      <c r="F269">
        <v>21213</v>
      </c>
      <c r="G269" t="s">
        <v>21</v>
      </c>
      <c r="H269">
        <v>21213</v>
      </c>
      <c r="I269">
        <v>41.835192999999997</v>
      </c>
      <c r="J269">
        <v>-87.625969999999995</v>
      </c>
      <c r="K269">
        <v>41.834460999999997</v>
      </c>
      <c r="L269">
        <v>-87.625889000000001</v>
      </c>
      <c r="M269" t="s">
        <v>17</v>
      </c>
      <c r="N269" s="12">
        <v>9.5138888888888894E-3</v>
      </c>
      <c r="O269">
        <v>3</v>
      </c>
      <c r="P269" t="s">
        <v>556</v>
      </c>
    </row>
    <row r="270" spans="1:16" x14ac:dyDescent="0.25">
      <c r="A270" t="s">
        <v>191</v>
      </c>
      <c r="B270" t="s">
        <v>37</v>
      </c>
      <c r="C270" s="11">
        <v>45043.428356481483</v>
      </c>
      <c r="D270" s="11">
        <v>45043.452534722222</v>
      </c>
      <c r="E270" t="s">
        <v>21</v>
      </c>
      <c r="F270">
        <v>21213</v>
      </c>
      <c r="G270" t="s">
        <v>33</v>
      </c>
      <c r="H270" t="s">
        <v>34</v>
      </c>
      <c r="I270">
        <v>41.834978999999997</v>
      </c>
      <c r="J270">
        <v>-87.626258000000007</v>
      </c>
      <c r="K270">
        <v>41.886930999999997</v>
      </c>
      <c r="L270">
        <v>-87.612791000000001</v>
      </c>
      <c r="M270" t="s">
        <v>17</v>
      </c>
      <c r="N270" s="12">
        <v>2.417824074074074E-2</v>
      </c>
      <c r="O270">
        <v>5</v>
      </c>
      <c r="P270" t="s">
        <v>558</v>
      </c>
    </row>
    <row r="271" spans="1:16" x14ac:dyDescent="0.25">
      <c r="A271" t="s">
        <v>192</v>
      </c>
      <c r="B271" t="s">
        <v>14</v>
      </c>
      <c r="C271" s="11">
        <v>45043.600960648146</v>
      </c>
      <c r="D271" s="11">
        <v>45043.608043981483</v>
      </c>
      <c r="E271" t="s">
        <v>35</v>
      </c>
      <c r="F271">
        <v>13022</v>
      </c>
      <c r="G271" t="s">
        <v>35</v>
      </c>
      <c r="H271">
        <v>13022</v>
      </c>
      <c r="I271">
        <v>41.891849999999998</v>
      </c>
      <c r="J271">
        <v>-87.612150999999997</v>
      </c>
      <c r="K271">
        <v>41.892257999999998</v>
      </c>
      <c r="L271">
        <v>-87.611942999999997</v>
      </c>
      <c r="M271" t="s">
        <v>17</v>
      </c>
      <c r="N271" s="12">
        <v>7.083333333333333E-3</v>
      </c>
      <c r="O271">
        <v>5</v>
      </c>
      <c r="P271" t="s">
        <v>558</v>
      </c>
    </row>
    <row r="272" spans="1:16" x14ac:dyDescent="0.25">
      <c r="A272" t="s">
        <v>193</v>
      </c>
      <c r="B272" t="s">
        <v>14</v>
      </c>
      <c r="C272" s="11">
        <v>45044.655034722222</v>
      </c>
      <c r="D272" s="11">
        <v>45044.662997685184</v>
      </c>
      <c r="E272" t="s">
        <v>57</v>
      </c>
      <c r="F272" t="s">
        <v>58</v>
      </c>
      <c r="G272" t="s">
        <v>15</v>
      </c>
      <c r="H272">
        <v>13008</v>
      </c>
      <c r="I272">
        <v>41.911819000000001</v>
      </c>
      <c r="J272">
        <v>-87.634406999999996</v>
      </c>
      <c r="K272">
        <v>41.881078000000002</v>
      </c>
      <c r="L272">
        <v>-87.624380000000002</v>
      </c>
      <c r="M272" t="s">
        <v>17</v>
      </c>
      <c r="N272" s="12">
        <v>7.9629629629629634E-3</v>
      </c>
      <c r="O272">
        <v>6</v>
      </c>
      <c r="P272" t="s">
        <v>559</v>
      </c>
    </row>
    <row r="273" spans="1:16" x14ac:dyDescent="0.25">
      <c r="A273" t="s">
        <v>194</v>
      </c>
      <c r="B273" t="s">
        <v>14</v>
      </c>
      <c r="C273" s="11">
        <v>45045.669756944444</v>
      </c>
      <c r="D273" s="11">
        <v>45045.673182870371</v>
      </c>
      <c r="E273" t="s">
        <v>35</v>
      </c>
      <c r="F273">
        <v>13022</v>
      </c>
      <c r="G273" t="s">
        <v>16</v>
      </c>
      <c r="H273">
        <v>13045</v>
      </c>
      <c r="I273">
        <v>41.892313000000001</v>
      </c>
      <c r="J273">
        <v>-87.612309999999994</v>
      </c>
      <c r="K273">
        <v>41.893835000000003</v>
      </c>
      <c r="L273">
        <v>-87.629344000000003</v>
      </c>
      <c r="M273" t="s">
        <v>17</v>
      </c>
      <c r="N273" s="12">
        <v>3.425925925925926E-3</v>
      </c>
      <c r="O273">
        <v>7</v>
      </c>
      <c r="P273" t="s">
        <v>560</v>
      </c>
    </row>
    <row r="274" spans="1:16" x14ac:dyDescent="0.25">
      <c r="A274" t="s">
        <v>195</v>
      </c>
      <c r="B274" t="s">
        <v>14</v>
      </c>
      <c r="C274" s="11">
        <v>45046.915208333332</v>
      </c>
      <c r="D274" s="11">
        <v>45046.921319444446</v>
      </c>
      <c r="E274" t="s">
        <v>66</v>
      </c>
      <c r="F274">
        <v>13042</v>
      </c>
      <c r="G274" t="s">
        <v>66</v>
      </c>
      <c r="H274">
        <v>13042</v>
      </c>
      <c r="I274">
        <v>41.901426000000001</v>
      </c>
      <c r="J274">
        <v>-87.624101999999993</v>
      </c>
      <c r="K274">
        <v>41.901108000000001</v>
      </c>
      <c r="L274">
        <v>-87.624032</v>
      </c>
      <c r="M274" t="s">
        <v>17</v>
      </c>
      <c r="N274" s="12">
        <v>6.1111111111111114E-3</v>
      </c>
      <c r="O274">
        <v>1</v>
      </c>
      <c r="P274" t="s">
        <v>554</v>
      </c>
    </row>
    <row r="275" spans="1:16" x14ac:dyDescent="0.25">
      <c r="A275" t="s">
        <v>197</v>
      </c>
      <c r="B275" t="s">
        <v>37</v>
      </c>
      <c r="C275" s="11">
        <v>45048.311539351853</v>
      </c>
      <c r="D275" s="11">
        <v>45048.316250000003</v>
      </c>
      <c r="E275" t="s">
        <v>47</v>
      </c>
      <c r="F275" t="s">
        <v>48</v>
      </c>
      <c r="G275" t="s">
        <v>47</v>
      </c>
      <c r="H275" t="s">
        <v>48</v>
      </c>
      <c r="I275">
        <v>41.881928000000002</v>
      </c>
      <c r="J275">
        <v>-87.640901999999997</v>
      </c>
      <c r="K275">
        <v>41.882624</v>
      </c>
      <c r="L275">
        <v>-87.640752000000006</v>
      </c>
      <c r="M275" t="s">
        <v>17</v>
      </c>
      <c r="N275" s="12">
        <v>4.7106481481481478E-3</v>
      </c>
      <c r="O275">
        <v>3</v>
      </c>
      <c r="P275" t="s">
        <v>556</v>
      </c>
    </row>
    <row r="276" spans="1:16" x14ac:dyDescent="0.25">
      <c r="A276" t="s">
        <v>198</v>
      </c>
      <c r="B276" t="s">
        <v>37</v>
      </c>
      <c r="C276" s="11">
        <v>45048.497013888889</v>
      </c>
      <c r="D276" s="11">
        <v>45048.500868055555</v>
      </c>
      <c r="E276" t="s">
        <v>19</v>
      </c>
      <c r="F276" t="s">
        <v>20</v>
      </c>
      <c r="G276" t="s">
        <v>43</v>
      </c>
      <c r="H276" t="s">
        <v>44</v>
      </c>
      <c r="I276">
        <v>41.925933999999998</v>
      </c>
      <c r="J276">
        <v>-87.630386000000001</v>
      </c>
      <c r="K276">
        <v>41.903489</v>
      </c>
      <c r="L276">
        <v>-87.634556000000003</v>
      </c>
      <c r="M276" t="s">
        <v>17</v>
      </c>
      <c r="N276" s="12">
        <v>3.8541666666666668E-3</v>
      </c>
      <c r="O276">
        <v>3</v>
      </c>
      <c r="P276" t="s">
        <v>556</v>
      </c>
    </row>
    <row r="277" spans="1:16" x14ac:dyDescent="0.25">
      <c r="A277" t="s">
        <v>199</v>
      </c>
      <c r="B277" t="s">
        <v>37</v>
      </c>
      <c r="C277" s="11">
        <v>45048.689421296294</v>
      </c>
      <c r="D277" s="11">
        <v>45048.694895833331</v>
      </c>
      <c r="E277" t="s">
        <v>43</v>
      </c>
      <c r="F277" t="s">
        <v>44</v>
      </c>
      <c r="G277" t="s">
        <v>41</v>
      </c>
      <c r="H277" t="s">
        <v>42</v>
      </c>
      <c r="I277">
        <v>41.903359999999999</v>
      </c>
      <c r="J277">
        <v>-87.634307000000007</v>
      </c>
      <c r="K277">
        <v>41.903129999999997</v>
      </c>
      <c r="L277">
        <v>-87.631343999999999</v>
      </c>
      <c r="M277" t="s">
        <v>17</v>
      </c>
      <c r="N277" s="12">
        <v>5.4745370370370373E-3</v>
      </c>
      <c r="O277">
        <v>3</v>
      </c>
      <c r="P277" t="s">
        <v>556</v>
      </c>
    </row>
    <row r="278" spans="1:16" x14ac:dyDescent="0.25">
      <c r="A278" t="s">
        <v>201</v>
      </c>
      <c r="B278" t="s">
        <v>37</v>
      </c>
      <c r="C278" s="11">
        <v>45050.240636574075</v>
      </c>
      <c r="D278" s="11">
        <v>45050.263055555559</v>
      </c>
      <c r="E278" t="s">
        <v>23</v>
      </c>
      <c r="F278">
        <v>13011</v>
      </c>
      <c r="G278" t="s">
        <v>66</v>
      </c>
      <c r="H278">
        <v>13042</v>
      </c>
      <c r="I278">
        <v>41.878906000000001</v>
      </c>
      <c r="J278">
        <v>-87.639971000000003</v>
      </c>
      <c r="K278">
        <v>41.901055999999997</v>
      </c>
      <c r="L278">
        <v>-87.624195999999998</v>
      </c>
      <c r="M278" t="s">
        <v>17</v>
      </c>
      <c r="N278" s="12">
        <v>2.2418981481481481E-2</v>
      </c>
      <c r="O278">
        <v>5</v>
      </c>
      <c r="P278" t="s">
        <v>558</v>
      </c>
    </row>
    <row r="279" spans="1:16" x14ac:dyDescent="0.25">
      <c r="A279" t="s">
        <v>202</v>
      </c>
      <c r="B279" t="s">
        <v>37</v>
      </c>
      <c r="C279" s="11">
        <v>45050.312708333331</v>
      </c>
      <c r="D279" s="11">
        <v>45050.326921296299</v>
      </c>
      <c r="E279" t="s">
        <v>27</v>
      </c>
      <c r="F279" t="s">
        <v>28</v>
      </c>
      <c r="G279" t="s">
        <v>23</v>
      </c>
      <c r="H279">
        <v>13011</v>
      </c>
      <c r="I279">
        <v>41.889074999999998</v>
      </c>
      <c r="J279">
        <v>-87.638493999999994</v>
      </c>
      <c r="K279">
        <v>41.879238000000001</v>
      </c>
      <c r="L279">
        <v>-87.640021000000004</v>
      </c>
      <c r="M279" t="s">
        <v>17</v>
      </c>
      <c r="N279" s="12">
        <v>1.4212962962962962E-2</v>
      </c>
      <c r="O279">
        <v>5</v>
      </c>
      <c r="P279" t="s">
        <v>558</v>
      </c>
    </row>
    <row r="280" spans="1:16" x14ac:dyDescent="0.25">
      <c r="A280" t="s">
        <v>206</v>
      </c>
      <c r="B280" t="s">
        <v>14</v>
      </c>
      <c r="C280" s="11">
        <v>45051.668194444443</v>
      </c>
      <c r="D280" s="11">
        <v>45051.678726851853</v>
      </c>
      <c r="E280" t="s">
        <v>15</v>
      </c>
      <c r="F280">
        <v>13008</v>
      </c>
      <c r="G280" t="s">
        <v>35</v>
      </c>
      <c r="H280">
        <v>13022</v>
      </c>
      <c r="I280">
        <v>41.881267000000001</v>
      </c>
      <c r="J280">
        <v>-87.624284000000003</v>
      </c>
      <c r="K280">
        <v>41.892104000000003</v>
      </c>
      <c r="L280">
        <v>-87.611750000000001</v>
      </c>
      <c r="M280" t="s">
        <v>17</v>
      </c>
      <c r="N280" s="12">
        <v>1.0532407407407407E-2</v>
      </c>
      <c r="O280">
        <v>6</v>
      </c>
      <c r="P280" t="s">
        <v>559</v>
      </c>
    </row>
    <row r="281" spans="1:16" x14ac:dyDescent="0.25">
      <c r="A281" t="s">
        <v>208</v>
      </c>
      <c r="B281" t="s">
        <v>14</v>
      </c>
      <c r="C281" s="11">
        <v>45053.333784722221</v>
      </c>
      <c r="D281" s="11">
        <v>45053.340856481482</v>
      </c>
      <c r="E281" t="s">
        <v>30</v>
      </c>
      <c r="F281">
        <v>13137</v>
      </c>
      <c r="G281" t="s">
        <v>41</v>
      </c>
      <c r="H281" t="s">
        <v>42</v>
      </c>
      <c r="I281">
        <v>41.937339999999999</v>
      </c>
      <c r="J281">
        <v>-87.643923000000001</v>
      </c>
      <c r="K281">
        <v>41.902769999999997</v>
      </c>
      <c r="L281">
        <v>-87.631062</v>
      </c>
      <c r="M281" t="s">
        <v>17</v>
      </c>
      <c r="N281" s="12">
        <v>7.0717592592592594E-3</v>
      </c>
      <c r="O281">
        <v>1</v>
      </c>
      <c r="P281" t="s">
        <v>554</v>
      </c>
    </row>
    <row r="282" spans="1:16" x14ac:dyDescent="0.25">
      <c r="A282" t="s">
        <v>210</v>
      </c>
      <c r="B282" t="s">
        <v>14</v>
      </c>
      <c r="C282" s="11">
        <v>45054.569340277776</v>
      </c>
      <c r="D282" s="11">
        <v>45054.57472222222</v>
      </c>
      <c r="E282" t="s">
        <v>24</v>
      </c>
      <c r="F282">
        <v>13263</v>
      </c>
      <c r="G282" t="s">
        <v>47</v>
      </c>
      <c r="H282" t="s">
        <v>48</v>
      </c>
      <c r="I282">
        <v>41.885204000000002</v>
      </c>
      <c r="J282">
        <v>-87.619337999999999</v>
      </c>
      <c r="K282">
        <v>41.882117000000001</v>
      </c>
      <c r="L282">
        <v>-87.640765999999999</v>
      </c>
      <c r="M282" t="s">
        <v>17</v>
      </c>
      <c r="N282" s="12">
        <v>5.3819444444444453E-3</v>
      </c>
      <c r="O282">
        <v>2</v>
      </c>
      <c r="P282" t="s">
        <v>555</v>
      </c>
    </row>
    <row r="283" spans="1:16" x14ac:dyDescent="0.25">
      <c r="A283" t="s">
        <v>212</v>
      </c>
      <c r="B283" t="s">
        <v>37</v>
      </c>
      <c r="C283" s="11">
        <v>45054.609444444446</v>
      </c>
      <c r="D283" s="11">
        <v>45054.612754629627</v>
      </c>
      <c r="E283" t="s">
        <v>24</v>
      </c>
      <c r="F283">
        <v>13263</v>
      </c>
      <c r="G283" t="s">
        <v>24</v>
      </c>
      <c r="H283">
        <v>13263</v>
      </c>
      <c r="I283">
        <v>41.884385000000002</v>
      </c>
      <c r="J283">
        <v>-87.619193999999993</v>
      </c>
      <c r="K283">
        <v>41.884270000000001</v>
      </c>
      <c r="L283">
        <v>-87.619602</v>
      </c>
      <c r="M283" t="s">
        <v>17</v>
      </c>
      <c r="N283" s="12">
        <v>3.3101851851851851E-3</v>
      </c>
      <c r="O283">
        <v>2</v>
      </c>
      <c r="P283" t="s">
        <v>555</v>
      </c>
    </row>
    <row r="284" spans="1:16" x14ac:dyDescent="0.25">
      <c r="A284" t="s">
        <v>213</v>
      </c>
      <c r="B284" t="s">
        <v>37</v>
      </c>
      <c r="C284" s="11">
        <v>45055.883287037039</v>
      </c>
      <c r="D284" s="11">
        <v>45055.88652777778</v>
      </c>
      <c r="E284" t="s">
        <v>19</v>
      </c>
      <c r="F284" t="s">
        <v>20</v>
      </c>
      <c r="G284" t="s">
        <v>23</v>
      </c>
      <c r="H284">
        <v>13011</v>
      </c>
      <c r="I284">
        <v>41.925911999999997</v>
      </c>
      <c r="J284">
        <v>-87.630583000000001</v>
      </c>
      <c r="K284">
        <v>41.879412000000002</v>
      </c>
      <c r="L284">
        <v>-87.639447000000004</v>
      </c>
      <c r="M284" t="s">
        <v>17</v>
      </c>
      <c r="N284" s="12">
        <v>3.2407407407407406E-3</v>
      </c>
      <c r="O284">
        <v>3</v>
      </c>
      <c r="P284" t="s">
        <v>556</v>
      </c>
    </row>
    <row r="285" spans="1:16" x14ac:dyDescent="0.25">
      <c r="A285" t="s">
        <v>214</v>
      </c>
      <c r="B285" t="s">
        <v>37</v>
      </c>
      <c r="C285" s="11">
        <v>45056.468043981484</v>
      </c>
      <c r="D285" s="11">
        <v>45056.480208333334</v>
      </c>
      <c r="E285" t="s">
        <v>24</v>
      </c>
      <c r="F285">
        <v>13263</v>
      </c>
      <c r="G285" t="s">
        <v>24</v>
      </c>
      <c r="H285">
        <v>13263</v>
      </c>
      <c r="I285">
        <v>41.884658000000002</v>
      </c>
      <c r="J285">
        <v>-87.619742000000002</v>
      </c>
      <c r="K285">
        <v>41.884357000000001</v>
      </c>
      <c r="L285">
        <v>-87.619921000000005</v>
      </c>
      <c r="M285" t="s">
        <v>17</v>
      </c>
      <c r="N285" s="12">
        <v>1.2164351851851852E-2</v>
      </c>
      <c r="O285">
        <v>4</v>
      </c>
      <c r="P285" t="s">
        <v>557</v>
      </c>
    </row>
    <row r="286" spans="1:16" x14ac:dyDescent="0.25">
      <c r="A286" t="s">
        <v>215</v>
      </c>
      <c r="B286" t="s">
        <v>37</v>
      </c>
      <c r="C286" s="11">
        <v>45058.709363425929</v>
      </c>
      <c r="D286" s="11">
        <v>45058.714930555558</v>
      </c>
      <c r="E286" t="s">
        <v>23</v>
      </c>
      <c r="F286">
        <v>13011</v>
      </c>
      <c r="G286" t="s">
        <v>15</v>
      </c>
      <c r="H286">
        <v>13008</v>
      </c>
      <c r="I286">
        <v>41.879537999999997</v>
      </c>
      <c r="J286">
        <v>-87.640127000000007</v>
      </c>
      <c r="K286">
        <v>41.881473</v>
      </c>
      <c r="L286">
        <v>-87.624459999999999</v>
      </c>
      <c r="M286" t="s">
        <v>17</v>
      </c>
      <c r="N286" s="12">
        <v>5.5671296296296302E-3</v>
      </c>
      <c r="O286">
        <v>6</v>
      </c>
      <c r="P286" t="s">
        <v>559</v>
      </c>
    </row>
    <row r="287" spans="1:16" x14ac:dyDescent="0.25">
      <c r="A287" t="s">
        <v>219</v>
      </c>
      <c r="B287" t="s">
        <v>14</v>
      </c>
      <c r="C287" s="11">
        <v>45060.157199074078</v>
      </c>
      <c r="D287" s="11">
        <v>45060.166342592594</v>
      </c>
      <c r="E287" t="s">
        <v>33</v>
      </c>
      <c r="F287" t="s">
        <v>34</v>
      </c>
      <c r="G287" t="s">
        <v>43</v>
      </c>
      <c r="H287" t="s">
        <v>44</v>
      </c>
      <c r="I287">
        <v>41.887238000000004</v>
      </c>
      <c r="J287">
        <v>-87.612695000000002</v>
      </c>
      <c r="K287">
        <v>41.902822999999998</v>
      </c>
      <c r="L287">
        <v>-87.634739999999994</v>
      </c>
      <c r="M287" t="s">
        <v>17</v>
      </c>
      <c r="N287" s="12">
        <v>9.1435185185185178E-3</v>
      </c>
      <c r="O287">
        <v>1</v>
      </c>
      <c r="P287" t="s">
        <v>554</v>
      </c>
    </row>
    <row r="288" spans="1:16" x14ac:dyDescent="0.25">
      <c r="A288" t="s">
        <v>220</v>
      </c>
      <c r="B288" t="s">
        <v>14</v>
      </c>
      <c r="C288" s="11">
        <v>45060.720706018517</v>
      </c>
      <c r="D288" s="11">
        <v>45060.72861111111</v>
      </c>
      <c r="E288" t="s">
        <v>33</v>
      </c>
      <c r="F288" t="s">
        <v>34</v>
      </c>
      <c r="G288" t="s">
        <v>30</v>
      </c>
      <c r="H288">
        <v>13137</v>
      </c>
      <c r="I288">
        <v>41.887095000000002</v>
      </c>
      <c r="J288">
        <v>-87.613230999999999</v>
      </c>
      <c r="K288">
        <v>41.9373</v>
      </c>
      <c r="L288">
        <v>-87.644347999999994</v>
      </c>
      <c r="M288" t="s">
        <v>17</v>
      </c>
      <c r="N288" s="12">
        <v>7.905092592592592E-3</v>
      </c>
      <c r="O288">
        <v>1</v>
      </c>
      <c r="P288" t="s">
        <v>554</v>
      </c>
    </row>
    <row r="289" spans="1:16" x14ac:dyDescent="0.25">
      <c r="A289" t="s">
        <v>223</v>
      </c>
      <c r="B289" t="s">
        <v>14</v>
      </c>
      <c r="C289" s="11">
        <v>45063.587673611109</v>
      </c>
      <c r="D289" s="11">
        <v>45063.60052083333</v>
      </c>
      <c r="E289" t="s">
        <v>30</v>
      </c>
      <c r="F289">
        <v>13137</v>
      </c>
      <c r="G289" t="s">
        <v>47</v>
      </c>
      <c r="H289" t="s">
        <v>48</v>
      </c>
      <c r="I289">
        <v>41.937528999999998</v>
      </c>
      <c r="J289">
        <v>-87.644096000000005</v>
      </c>
      <c r="K289">
        <v>41.881988999999997</v>
      </c>
      <c r="L289">
        <v>-87.641095000000007</v>
      </c>
      <c r="M289" t="s">
        <v>17</v>
      </c>
      <c r="N289" s="12">
        <v>1.2847222222222223E-2</v>
      </c>
      <c r="O289">
        <v>4</v>
      </c>
      <c r="P289" t="s">
        <v>557</v>
      </c>
    </row>
    <row r="290" spans="1:16" x14ac:dyDescent="0.25">
      <c r="A290" t="s">
        <v>226</v>
      </c>
      <c r="B290" t="s">
        <v>14</v>
      </c>
      <c r="C290" s="11">
        <v>45064.179444444446</v>
      </c>
      <c r="D290" s="11">
        <v>45064.197974537034</v>
      </c>
      <c r="E290" t="s">
        <v>43</v>
      </c>
      <c r="F290" t="s">
        <v>44</v>
      </c>
      <c r="G290" t="s">
        <v>43</v>
      </c>
      <c r="H290" t="s">
        <v>44</v>
      </c>
      <c r="I290">
        <v>41.903272999999999</v>
      </c>
      <c r="J290">
        <v>-87.634737000000001</v>
      </c>
      <c r="K290">
        <v>41.903129999999997</v>
      </c>
      <c r="L290">
        <v>-87.634450999999999</v>
      </c>
      <c r="M290" t="s">
        <v>17</v>
      </c>
      <c r="N290" s="12">
        <v>1.8530092592592595E-2</v>
      </c>
      <c r="O290">
        <v>5</v>
      </c>
      <c r="P290" t="s">
        <v>558</v>
      </c>
    </row>
    <row r="291" spans="1:16" x14ac:dyDescent="0.25">
      <c r="A291" t="s">
        <v>227</v>
      </c>
      <c r="B291" t="s">
        <v>26</v>
      </c>
      <c r="C291" s="11">
        <v>45065.580833333333</v>
      </c>
      <c r="D291" s="11">
        <v>45065.604699074072</v>
      </c>
      <c r="E291" t="s">
        <v>57</v>
      </c>
      <c r="F291" t="s">
        <v>58</v>
      </c>
      <c r="G291" t="s">
        <v>33</v>
      </c>
      <c r="H291" t="s">
        <v>34</v>
      </c>
      <c r="I291">
        <v>41.912613999999998</v>
      </c>
      <c r="J291">
        <v>-87.634966000000006</v>
      </c>
      <c r="K291">
        <v>41.887269000000003</v>
      </c>
      <c r="L291">
        <v>-87.612404999999995</v>
      </c>
      <c r="M291" t="s">
        <v>17</v>
      </c>
      <c r="N291" s="12">
        <v>2.3865740740740743E-2</v>
      </c>
      <c r="O291">
        <v>6</v>
      </c>
      <c r="P291" t="s">
        <v>559</v>
      </c>
    </row>
    <row r="292" spans="1:16" x14ac:dyDescent="0.25">
      <c r="A292" t="s">
        <v>228</v>
      </c>
      <c r="B292" t="s">
        <v>14</v>
      </c>
      <c r="C292" s="11">
        <v>45065.987141203703</v>
      </c>
      <c r="D292" s="11">
        <v>45065.998449074075</v>
      </c>
      <c r="E292" t="s">
        <v>66</v>
      </c>
      <c r="F292">
        <v>13042</v>
      </c>
      <c r="G292" t="s">
        <v>33</v>
      </c>
      <c r="H292" t="s">
        <v>34</v>
      </c>
      <c r="I292">
        <v>41.900526999999997</v>
      </c>
      <c r="J292">
        <v>-87.623400000000004</v>
      </c>
      <c r="K292">
        <v>41.886865</v>
      </c>
      <c r="L292">
        <v>-87.612770999999995</v>
      </c>
      <c r="M292" t="s">
        <v>17</v>
      </c>
      <c r="N292" s="12">
        <v>1.1307870370370371E-2</v>
      </c>
      <c r="O292">
        <v>6</v>
      </c>
      <c r="P292" t="s">
        <v>559</v>
      </c>
    </row>
    <row r="293" spans="1:16" x14ac:dyDescent="0.25">
      <c r="A293" t="s">
        <v>229</v>
      </c>
      <c r="B293" t="s">
        <v>37</v>
      </c>
      <c r="C293" s="11">
        <v>45066.529803240737</v>
      </c>
      <c r="D293" s="11">
        <v>45066.5391087963</v>
      </c>
      <c r="E293" t="s">
        <v>41</v>
      </c>
      <c r="F293" t="s">
        <v>42</v>
      </c>
      <c r="G293" t="s">
        <v>16</v>
      </c>
      <c r="H293">
        <v>13045</v>
      </c>
      <c r="I293">
        <v>41.903301999999996</v>
      </c>
      <c r="J293">
        <v>-87.630990999999995</v>
      </c>
      <c r="K293">
        <v>41.893799999999999</v>
      </c>
      <c r="L293">
        <v>-87.628904000000006</v>
      </c>
      <c r="M293" t="s">
        <v>17</v>
      </c>
      <c r="N293" s="12">
        <v>9.3055555555555548E-3</v>
      </c>
      <c r="O293">
        <v>7</v>
      </c>
      <c r="P293" t="s">
        <v>560</v>
      </c>
    </row>
    <row r="294" spans="1:16" x14ac:dyDescent="0.25">
      <c r="A294" t="s">
        <v>230</v>
      </c>
      <c r="B294" t="s">
        <v>37</v>
      </c>
      <c r="C294" s="11">
        <v>45066.708402777775</v>
      </c>
      <c r="D294" s="11">
        <v>45066.712696759256</v>
      </c>
      <c r="E294" t="s">
        <v>66</v>
      </c>
      <c r="F294">
        <v>13042</v>
      </c>
      <c r="G294" t="s">
        <v>16</v>
      </c>
      <c r="H294">
        <v>13045</v>
      </c>
      <c r="I294">
        <v>41.901395999999998</v>
      </c>
      <c r="J294">
        <v>-87.623335999999995</v>
      </c>
      <c r="K294">
        <v>41.893667000000001</v>
      </c>
      <c r="L294">
        <v>-87.628943000000007</v>
      </c>
      <c r="M294" t="s">
        <v>17</v>
      </c>
      <c r="N294" s="12">
        <v>4.2939814814814811E-3</v>
      </c>
      <c r="O294">
        <v>7</v>
      </c>
      <c r="P294" t="s">
        <v>560</v>
      </c>
    </row>
    <row r="295" spans="1:16" x14ac:dyDescent="0.25">
      <c r="A295" t="s">
        <v>231</v>
      </c>
      <c r="B295" t="s">
        <v>14</v>
      </c>
      <c r="C295" s="11">
        <v>45067.344629629632</v>
      </c>
      <c r="D295" s="11">
        <v>45067.349722222221</v>
      </c>
      <c r="E295" t="s">
        <v>30</v>
      </c>
      <c r="F295">
        <v>13137</v>
      </c>
      <c r="G295" t="s">
        <v>15</v>
      </c>
      <c r="H295">
        <v>13008</v>
      </c>
      <c r="I295">
        <v>41.937531999999997</v>
      </c>
      <c r="J295">
        <v>-87.644261</v>
      </c>
      <c r="K295">
        <v>41.881402999999999</v>
      </c>
      <c r="L295">
        <v>-87.624499999999998</v>
      </c>
      <c r="M295" t="s">
        <v>17</v>
      </c>
      <c r="N295" s="12">
        <v>5.0925925925925921E-3</v>
      </c>
      <c r="O295">
        <v>1</v>
      </c>
      <c r="P295" t="s">
        <v>554</v>
      </c>
    </row>
    <row r="296" spans="1:16" x14ac:dyDescent="0.25">
      <c r="A296" t="s">
        <v>232</v>
      </c>
      <c r="B296" t="s">
        <v>14</v>
      </c>
      <c r="C296" s="11">
        <v>45067.859027777777</v>
      </c>
      <c r="D296" s="11">
        <v>45067.869988425926</v>
      </c>
      <c r="E296" t="s">
        <v>27</v>
      </c>
      <c r="F296" t="s">
        <v>28</v>
      </c>
      <c r="G296" t="s">
        <v>27</v>
      </c>
      <c r="H296" t="s">
        <v>28</v>
      </c>
      <c r="I296">
        <v>41.889282999999999</v>
      </c>
      <c r="J296">
        <v>-87.638889000000006</v>
      </c>
      <c r="K296">
        <v>41.889014000000003</v>
      </c>
      <c r="L296">
        <v>-87.638863000000001</v>
      </c>
      <c r="M296" t="s">
        <v>17</v>
      </c>
      <c r="N296" s="12">
        <v>1.0960648148148148E-2</v>
      </c>
      <c r="O296">
        <v>1</v>
      </c>
      <c r="P296" t="s">
        <v>554</v>
      </c>
    </row>
    <row r="297" spans="1:16" x14ac:dyDescent="0.25">
      <c r="A297" t="s">
        <v>234</v>
      </c>
      <c r="B297" t="s">
        <v>14</v>
      </c>
      <c r="C297" s="11">
        <v>45069.50677083333</v>
      </c>
      <c r="D297" s="11">
        <v>45069.517013888886</v>
      </c>
      <c r="E297" t="s">
        <v>43</v>
      </c>
      <c r="F297" t="s">
        <v>44</v>
      </c>
      <c r="G297" t="s">
        <v>43</v>
      </c>
      <c r="H297" t="s">
        <v>44</v>
      </c>
      <c r="I297">
        <v>41.902839</v>
      </c>
      <c r="J297">
        <v>-87.634276999999997</v>
      </c>
      <c r="K297">
        <v>41.903624000000001</v>
      </c>
      <c r="L297">
        <v>-87.634479999999996</v>
      </c>
      <c r="M297" t="s">
        <v>17</v>
      </c>
      <c r="N297" s="12">
        <v>1.0243055555555556E-2</v>
      </c>
      <c r="O297">
        <v>3</v>
      </c>
      <c r="P297" t="s">
        <v>556</v>
      </c>
    </row>
    <row r="298" spans="1:16" x14ac:dyDescent="0.25">
      <c r="A298" t="s">
        <v>235</v>
      </c>
      <c r="B298" t="s">
        <v>14</v>
      </c>
      <c r="C298" s="11">
        <v>45069.623923611114</v>
      </c>
      <c r="D298" s="11">
        <v>45069.628206018519</v>
      </c>
      <c r="E298" t="s">
        <v>16</v>
      </c>
      <c r="F298">
        <v>13045</v>
      </c>
      <c r="G298" t="s">
        <v>47</v>
      </c>
      <c r="H298" t="s">
        <v>48</v>
      </c>
      <c r="I298">
        <v>41.894086000000001</v>
      </c>
      <c r="J298">
        <v>-87.629321000000004</v>
      </c>
      <c r="K298">
        <v>41.882730000000002</v>
      </c>
      <c r="L298">
        <v>-87.64143</v>
      </c>
      <c r="M298" t="s">
        <v>17</v>
      </c>
      <c r="N298" s="12">
        <v>4.2824074074074075E-3</v>
      </c>
      <c r="O298">
        <v>3</v>
      </c>
      <c r="P298" t="s">
        <v>556</v>
      </c>
    </row>
    <row r="299" spans="1:16" x14ac:dyDescent="0.25">
      <c r="A299" t="s">
        <v>236</v>
      </c>
      <c r="B299" t="s">
        <v>14</v>
      </c>
      <c r="C299" s="11">
        <v>45070.092291666668</v>
      </c>
      <c r="D299" s="11">
        <v>45070.104259259257</v>
      </c>
      <c r="E299" t="s">
        <v>33</v>
      </c>
      <c r="F299" t="s">
        <v>34</v>
      </c>
      <c r="G299" t="s">
        <v>47</v>
      </c>
      <c r="H299" t="s">
        <v>48</v>
      </c>
      <c r="I299">
        <v>41.887408000000001</v>
      </c>
      <c r="J299">
        <v>-87.612316000000007</v>
      </c>
      <c r="K299">
        <v>41.882461999999997</v>
      </c>
      <c r="L299">
        <v>-87.641278999999997</v>
      </c>
      <c r="M299" t="s">
        <v>17</v>
      </c>
      <c r="N299" s="12">
        <v>1.1967592592592592E-2</v>
      </c>
      <c r="O299">
        <v>4</v>
      </c>
      <c r="P299" t="s">
        <v>557</v>
      </c>
    </row>
    <row r="300" spans="1:16" x14ac:dyDescent="0.25">
      <c r="A300" t="s">
        <v>237</v>
      </c>
      <c r="B300" t="s">
        <v>14</v>
      </c>
      <c r="C300" s="11">
        <v>45071.758738425924</v>
      </c>
      <c r="D300" s="11">
        <v>45071.781261574077</v>
      </c>
      <c r="E300" t="s">
        <v>41</v>
      </c>
      <c r="F300" t="s">
        <v>42</v>
      </c>
      <c r="G300" t="s">
        <v>19</v>
      </c>
      <c r="H300" t="s">
        <v>20</v>
      </c>
      <c r="I300">
        <v>41.903005999999998</v>
      </c>
      <c r="J300">
        <v>-87.63091</v>
      </c>
      <c r="K300">
        <v>41.925908</v>
      </c>
      <c r="L300">
        <v>-87.630543000000003</v>
      </c>
      <c r="M300" t="s">
        <v>17</v>
      </c>
      <c r="N300" s="12">
        <v>2.2523148148148143E-2</v>
      </c>
      <c r="O300">
        <v>5</v>
      </c>
      <c r="P300" t="s">
        <v>558</v>
      </c>
    </row>
    <row r="301" spans="1:16" x14ac:dyDescent="0.25">
      <c r="A301" t="s">
        <v>240</v>
      </c>
      <c r="B301" t="s">
        <v>14</v>
      </c>
      <c r="C301" s="11">
        <v>45073.41474537037</v>
      </c>
      <c r="D301" s="11">
        <v>45073.428900462961</v>
      </c>
      <c r="E301" t="s">
        <v>30</v>
      </c>
      <c r="F301">
        <v>13137</v>
      </c>
      <c r="G301" t="s">
        <v>43</v>
      </c>
      <c r="H301" t="s">
        <v>44</v>
      </c>
      <c r="I301">
        <v>41.937497999999998</v>
      </c>
      <c r="J301">
        <v>-87.644169000000005</v>
      </c>
      <c r="K301">
        <v>41.903263000000003</v>
      </c>
      <c r="L301">
        <v>-87.634128000000004</v>
      </c>
      <c r="M301" t="s">
        <v>17</v>
      </c>
      <c r="N301" s="12">
        <v>1.4155092592592592E-2</v>
      </c>
      <c r="O301">
        <v>7</v>
      </c>
      <c r="P301" t="s">
        <v>560</v>
      </c>
    </row>
    <row r="302" spans="1:16" x14ac:dyDescent="0.25">
      <c r="A302" t="s">
        <v>241</v>
      </c>
      <c r="B302" t="s">
        <v>14</v>
      </c>
      <c r="C302" s="11">
        <v>45073.530092592591</v>
      </c>
      <c r="D302" s="11">
        <v>45073.542048611111</v>
      </c>
      <c r="E302" t="s">
        <v>35</v>
      </c>
      <c r="F302">
        <v>13022</v>
      </c>
      <c r="G302" t="s">
        <v>66</v>
      </c>
      <c r="H302">
        <v>13042</v>
      </c>
      <c r="I302">
        <v>41.892629999999997</v>
      </c>
      <c r="J302">
        <v>-87.612386000000001</v>
      </c>
      <c r="K302">
        <v>41.901434999999999</v>
      </c>
      <c r="L302">
        <v>-87.623434000000003</v>
      </c>
      <c r="M302" t="s">
        <v>17</v>
      </c>
      <c r="N302" s="12">
        <v>1.1956018518518517E-2</v>
      </c>
      <c r="O302">
        <v>7</v>
      </c>
      <c r="P302" t="s">
        <v>560</v>
      </c>
    </row>
    <row r="303" spans="1:16" x14ac:dyDescent="0.25">
      <c r="A303" t="s">
        <v>243</v>
      </c>
      <c r="B303" t="s">
        <v>14</v>
      </c>
      <c r="C303" s="11">
        <v>45074.146886574075</v>
      </c>
      <c r="D303" s="11">
        <v>45074.150821759256</v>
      </c>
      <c r="E303" t="s">
        <v>35</v>
      </c>
      <c r="F303">
        <v>13022</v>
      </c>
      <c r="G303" t="s">
        <v>57</v>
      </c>
      <c r="H303" t="s">
        <v>58</v>
      </c>
      <c r="I303">
        <v>41.892715000000003</v>
      </c>
      <c r="J303">
        <v>-87.612404999999995</v>
      </c>
      <c r="K303">
        <v>41.911974000000001</v>
      </c>
      <c r="L303">
        <v>-87.635042999999996</v>
      </c>
      <c r="M303" t="s">
        <v>17</v>
      </c>
      <c r="N303" s="12">
        <v>3.9351851851851857E-3</v>
      </c>
      <c r="O303">
        <v>1</v>
      </c>
      <c r="P303" t="s">
        <v>554</v>
      </c>
    </row>
    <row r="304" spans="1:16" x14ac:dyDescent="0.25">
      <c r="A304" t="s">
        <v>245</v>
      </c>
      <c r="B304" t="s">
        <v>37</v>
      </c>
      <c r="C304" s="11">
        <v>45076.859398148146</v>
      </c>
      <c r="D304" s="11">
        <v>45076.86613425926</v>
      </c>
      <c r="E304" t="s">
        <v>16</v>
      </c>
      <c r="F304">
        <v>13045</v>
      </c>
      <c r="G304" t="s">
        <v>16</v>
      </c>
      <c r="H304">
        <v>13045</v>
      </c>
      <c r="I304">
        <v>41.893846000000003</v>
      </c>
      <c r="J304">
        <v>-87.629712999999995</v>
      </c>
      <c r="K304">
        <v>41.893714000000003</v>
      </c>
      <c r="L304">
        <v>-87.629299000000003</v>
      </c>
      <c r="M304" t="s">
        <v>17</v>
      </c>
      <c r="N304" s="12">
        <v>6.7361111111111103E-3</v>
      </c>
      <c r="O304">
        <v>3</v>
      </c>
      <c r="P304" t="s">
        <v>556</v>
      </c>
    </row>
    <row r="305" spans="1:16" x14ac:dyDescent="0.25">
      <c r="A305" t="s">
        <v>246</v>
      </c>
      <c r="B305" t="s">
        <v>26</v>
      </c>
      <c r="C305" s="11">
        <v>45077.768310185187</v>
      </c>
      <c r="D305" s="11">
        <v>45077.776203703703</v>
      </c>
      <c r="E305" t="s">
        <v>24</v>
      </c>
      <c r="F305">
        <v>13263</v>
      </c>
      <c r="G305" t="s">
        <v>33</v>
      </c>
      <c r="H305" t="s">
        <v>34</v>
      </c>
      <c r="I305">
        <v>41.884804000000003</v>
      </c>
      <c r="J305">
        <v>-87.619860000000003</v>
      </c>
      <c r="K305">
        <v>41.886947999999997</v>
      </c>
      <c r="L305">
        <v>-87.612759999999994</v>
      </c>
      <c r="M305" t="s">
        <v>17</v>
      </c>
      <c r="N305" s="12">
        <v>7.8935185185185185E-3</v>
      </c>
      <c r="O305">
        <v>4</v>
      </c>
      <c r="P305" t="s">
        <v>557</v>
      </c>
    </row>
    <row r="306" spans="1:16" x14ac:dyDescent="0.25">
      <c r="A306" t="s">
        <v>247</v>
      </c>
      <c r="B306" t="s">
        <v>26</v>
      </c>
      <c r="C306" s="11">
        <v>45077.773784722223</v>
      </c>
      <c r="D306" s="11">
        <v>45077.780069444445</v>
      </c>
      <c r="E306" t="s">
        <v>30</v>
      </c>
      <c r="F306">
        <v>13137</v>
      </c>
      <c r="G306" t="s">
        <v>41</v>
      </c>
      <c r="H306" t="s">
        <v>42</v>
      </c>
      <c r="I306">
        <v>41.937399999999997</v>
      </c>
      <c r="J306">
        <v>-87.644588999999996</v>
      </c>
      <c r="K306">
        <v>41.902855000000002</v>
      </c>
      <c r="L306">
        <v>-87.631478000000001</v>
      </c>
      <c r="M306" t="s">
        <v>17</v>
      </c>
      <c r="N306" s="12">
        <v>6.2847222222222228E-3</v>
      </c>
      <c r="O306">
        <v>4</v>
      </c>
      <c r="P306" t="s">
        <v>557</v>
      </c>
    </row>
    <row r="307" spans="1:16" x14ac:dyDescent="0.25">
      <c r="A307" t="s">
        <v>250</v>
      </c>
      <c r="B307" t="s">
        <v>37</v>
      </c>
      <c r="C307" s="11">
        <v>45079.303831018522</v>
      </c>
      <c r="D307" s="11">
        <v>45079.312627314815</v>
      </c>
      <c r="E307" t="s">
        <v>15</v>
      </c>
      <c r="F307">
        <v>13008</v>
      </c>
      <c r="G307" t="s">
        <v>35</v>
      </c>
      <c r="H307">
        <v>13022</v>
      </c>
      <c r="I307">
        <v>41.880786000000001</v>
      </c>
      <c r="J307">
        <v>-87.624336999999997</v>
      </c>
      <c r="K307">
        <v>41.892474</v>
      </c>
      <c r="L307">
        <v>-87.611830999999995</v>
      </c>
      <c r="M307" t="s">
        <v>17</v>
      </c>
      <c r="N307" s="12">
        <v>8.7962962962962968E-3</v>
      </c>
      <c r="O307">
        <v>6</v>
      </c>
      <c r="P307" t="s">
        <v>559</v>
      </c>
    </row>
    <row r="308" spans="1:16" x14ac:dyDescent="0.25">
      <c r="A308" t="s">
        <v>251</v>
      </c>
      <c r="B308" t="s">
        <v>14</v>
      </c>
      <c r="C308" s="11">
        <v>45080.053437499999</v>
      </c>
      <c r="D308" s="11">
        <v>45080.063634259262</v>
      </c>
      <c r="E308" t="s">
        <v>57</v>
      </c>
      <c r="F308" t="s">
        <v>58</v>
      </c>
      <c r="G308" t="s">
        <v>16</v>
      </c>
      <c r="H308">
        <v>13045</v>
      </c>
      <c r="I308">
        <v>41.91178</v>
      </c>
      <c r="J308">
        <v>-87.634949000000006</v>
      </c>
      <c r="K308">
        <v>41.893805</v>
      </c>
      <c r="L308">
        <v>-87.629182</v>
      </c>
      <c r="M308" t="s">
        <v>17</v>
      </c>
      <c r="N308" s="12">
        <v>1.019675925925926E-2</v>
      </c>
      <c r="O308">
        <v>7</v>
      </c>
      <c r="P308" t="s">
        <v>560</v>
      </c>
    </row>
    <row r="309" spans="1:16" x14ac:dyDescent="0.25">
      <c r="A309" t="s">
        <v>253</v>
      </c>
      <c r="B309" t="s">
        <v>37</v>
      </c>
      <c r="C309" s="11">
        <v>45080.639907407407</v>
      </c>
      <c r="D309" s="11">
        <v>45080.644328703704</v>
      </c>
      <c r="E309" t="s">
        <v>41</v>
      </c>
      <c r="F309" t="s">
        <v>42</v>
      </c>
      <c r="G309" t="s">
        <v>41</v>
      </c>
      <c r="H309" t="s">
        <v>42</v>
      </c>
      <c r="I309">
        <v>41.903387000000002</v>
      </c>
      <c r="J309">
        <v>-87.631662000000006</v>
      </c>
      <c r="K309">
        <v>41.90305</v>
      </c>
      <c r="L309">
        <v>-87.631506000000002</v>
      </c>
      <c r="M309" t="s">
        <v>17</v>
      </c>
      <c r="N309" s="12">
        <v>4.4212962962962956E-3</v>
      </c>
      <c r="O309">
        <v>7</v>
      </c>
      <c r="P309" t="s">
        <v>560</v>
      </c>
    </row>
    <row r="310" spans="1:16" x14ac:dyDescent="0.25">
      <c r="A310" t="s">
        <v>255</v>
      </c>
      <c r="B310" t="s">
        <v>14</v>
      </c>
      <c r="C310" s="11">
        <v>45081.151909722219</v>
      </c>
      <c r="D310" s="11">
        <v>45081.154988425929</v>
      </c>
      <c r="E310" t="s">
        <v>16</v>
      </c>
      <c r="F310">
        <v>13045</v>
      </c>
      <c r="G310" t="s">
        <v>19</v>
      </c>
      <c r="H310" t="s">
        <v>20</v>
      </c>
      <c r="I310">
        <v>41.894247999999997</v>
      </c>
      <c r="J310">
        <v>-87.629358999999994</v>
      </c>
      <c r="K310">
        <v>41.926065999999999</v>
      </c>
      <c r="L310">
        <v>-87.630433999999994</v>
      </c>
      <c r="M310" t="s">
        <v>17</v>
      </c>
      <c r="N310" s="12">
        <v>3.0787037037037037E-3</v>
      </c>
      <c r="O310">
        <v>1</v>
      </c>
      <c r="P310" t="s">
        <v>554</v>
      </c>
    </row>
    <row r="311" spans="1:16" x14ac:dyDescent="0.25">
      <c r="A311" t="s">
        <v>258</v>
      </c>
      <c r="B311" t="s">
        <v>14</v>
      </c>
      <c r="C311" s="11">
        <v>45082.980624999997</v>
      </c>
      <c r="D311" s="11">
        <v>45082.984733796293</v>
      </c>
      <c r="E311" t="s">
        <v>35</v>
      </c>
      <c r="F311">
        <v>13022</v>
      </c>
      <c r="G311" t="s">
        <v>15</v>
      </c>
      <c r="H311">
        <v>13008</v>
      </c>
      <c r="I311">
        <v>41.892118000000004</v>
      </c>
      <c r="J311">
        <v>-87.612026</v>
      </c>
      <c r="K311">
        <v>41.880910999999998</v>
      </c>
      <c r="L311">
        <v>-87.624577000000002</v>
      </c>
      <c r="M311" t="s">
        <v>17</v>
      </c>
      <c r="N311" s="12">
        <v>4.108796296296297E-3</v>
      </c>
      <c r="O311">
        <v>2</v>
      </c>
      <c r="P311" t="s">
        <v>555</v>
      </c>
    </row>
    <row r="312" spans="1:16" x14ac:dyDescent="0.25">
      <c r="A312" t="s">
        <v>260</v>
      </c>
      <c r="B312" t="s">
        <v>26</v>
      </c>
      <c r="C312" s="11">
        <v>45083.473101851851</v>
      </c>
      <c r="D312" s="11">
        <v>45083.477233796293</v>
      </c>
      <c r="E312" t="s">
        <v>41</v>
      </c>
      <c r="F312" t="s">
        <v>42</v>
      </c>
      <c r="G312" t="s">
        <v>43</v>
      </c>
      <c r="H312" t="s">
        <v>44</v>
      </c>
      <c r="I312">
        <v>41.903210999999999</v>
      </c>
      <c r="J312">
        <v>-87.631074999999996</v>
      </c>
      <c r="K312">
        <v>41.903145000000002</v>
      </c>
      <c r="L312">
        <v>-87.634477000000004</v>
      </c>
      <c r="M312" t="s">
        <v>17</v>
      </c>
      <c r="N312" s="12">
        <v>4.1319444444444442E-3</v>
      </c>
      <c r="O312">
        <v>3</v>
      </c>
      <c r="P312" t="s">
        <v>556</v>
      </c>
    </row>
    <row r="313" spans="1:16" x14ac:dyDescent="0.25">
      <c r="A313" t="s">
        <v>261</v>
      </c>
      <c r="B313" t="s">
        <v>14</v>
      </c>
      <c r="C313" s="11">
        <v>45084.474340277775</v>
      </c>
      <c r="D313" s="11">
        <v>45084.484849537039</v>
      </c>
      <c r="E313" t="s">
        <v>15</v>
      </c>
      <c r="F313">
        <v>13008</v>
      </c>
      <c r="G313" t="s">
        <v>24</v>
      </c>
      <c r="H313">
        <v>13263</v>
      </c>
      <c r="I313">
        <v>41.880826999999996</v>
      </c>
      <c r="J313">
        <v>-87.624493000000001</v>
      </c>
      <c r="K313">
        <v>41.884895999999998</v>
      </c>
      <c r="L313">
        <v>-87.619888000000003</v>
      </c>
      <c r="M313" t="s">
        <v>17</v>
      </c>
      <c r="N313" s="12">
        <v>1.050925925925926E-2</v>
      </c>
      <c r="O313">
        <v>4</v>
      </c>
      <c r="P313" t="s">
        <v>557</v>
      </c>
    </row>
    <row r="314" spans="1:16" x14ac:dyDescent="0.25">
      <c r="A314" t="s">
        <v>263</v>
      </c>
      <c r="B314" t="s">
        <v>37</v>
      </c>
      <c r="C314" s="11">
        <v>45086.330300925925</v>
      </c>
      <c r="D314" s="11">
        <v>45086.345370370371</v>
      </c>
      <c r="E314" t="s">
        <v>19</v>
      </c>
      <c r="F314" t="s">
        <v>20</v>
      </c>
      <c r="G314" t="s">
        <v>27</v>
      </c>
      <c r="H314" t="s">
        <v>28</v>
      </c>
      <c r="I314">
        <v>41.926138999999999</v>
      </c>
      <c r="J314">
        <v>-87.630508000000006</v>
      </c>
      <c r="K314">
        <v>41.889378000000001</v>
      </c>
      <c r="L314">
        <v>-87.638547000000003</v>
      </c>
      <c r="M314" t="s">
        <v>17</v>
      </c>
      <c r="N314" s="12">
        <v>1.5069444444444443E-2</v>
      </c>
      <c r="O314">
        <v>6</v>
      </c>
      <c r="P314" t="s">
        <v>559</v>
      </c>
    </row>
    <row r="315" spans="1:16" x14ac:dyDescent="0.25">
      <c r="A315" t="s">
        <v>264</v>
      </c>
      <c r="B315" t="s">
        <v>14</v>
      </c>
      <c r="C315" s="11">
        <v>45086.362511574072</v>
      </c>
      <c r="D315" s="11">
        <v>45086.373831018522</v>
      </c>
      <c r="E315" t="s">
        <v>27</v>
      </c>
      <c r="F315" t="s">
        <v>28</v>
      </c>
      <c r="G315" t="s">
        <v>27</v>
      </c>
      <c r="H315" t="s">
        <v>28</v>
      </c>
      <c r="I315">
        <v>41.889457999999998</v>
      </c>
      <c r="J315">
        <v>-87.638546000000005</v>
      </c>
      <c r="K315">
        <v>41.888734999999997</v>
      </c>
      <c r="L315">
        <v>-87.638011000000006</v>
      </c>
      <c r="M315" t="s">
        <v>17</v>
      </c>
      <c r="N315" s="12">
        <v>1.1319444444444444E-2</v>
      </c>
      <c r="O315">
        <v>6</v>
      </c>
      <c r="P315" t="s">
        <v>559</v>
      </c>
    </row>
    <row r="316" spans="1:16" x14ac:dyDescent="0.25">
      <c r="A316" t="s">
        <v>265</v>
      </c>
      <c r="B316" t="s">
        <v>37</v>
      </c>
      <c r="C316" s="11">
        <v>45086.924571759257</v>
      </c>
      <c r="D316" s="11">
        <v>45086.93677083333</v>
      </c>
      <c r="E316" t="s">
        <v>23</v>
      </c>
      <c r="F316">
        <v>13011</v>
      </c>
      <c r="G316" t="s">
        <v>23</v>
      </c>
      <c r="H316">
        <v>13011</v>
      </c>
      <c r="I316">
        <v>41.879565999999997</v>
      </c>
      <c r="J316">
        <v>-87.639583000000002</v>
      </c>
      <c r="K316">
        <v>41.879381000000002</v>
      </c>
      <c r="L316">
        <v>-87.639583999999999</v>
      </c>
      <c r="M316" t="s">
        <v>17</v>
      </c>
      <c r="N316" s="12">
        <v>1.2199074074074072E-2</v>
      </c>
      <c r="O316">
        <v>6</v>
      </c>
      <c r="P316" t="s">
        <v>559</v>
      </c>
    </row>
    <row r="317" spans="1:16" x14ac:dyDescent="0.25">
      <c r="A317" t="s">
        <v>266</v>
      </c>
      <c r="B317" t="s">
        <v>37</v>
      </c>
      <c r="C317" s="11">
        <v>45088.221550925926</v>
      </c>
      <c r="D317" s="11">
        <v>45088.225995370369</v>
      </c>
      <c r="E317" t="s">
        <v>16</v>
      </c>
      <c r="F317">
        <v>13045</v>
      </c>
      <c r="G317" t="s">
        <v>16</v>
      </c>
      <c r="H317">
        <v>13045</v>
      </c>
      <c r="I317">
        <v>41.894421999999999</v>
      </c>
      <c r="J317">
        <v>-87.629748000000006</v>
      </c>
      <c r="K317">
        <v>41.893701</v>
      </c>
      <c r="L317">
        <v>-87.629147000000003</v>
      </c>
      <c r="M317" t="s">
        <v>17</v>
      </c>
      <c r="N317" s="12">
        <v>4.4444444444444444E-3</v>
      </c>
      <c r="O317">
        <v>1</v>
      </c>
      <c r="P317" t="s">
        <v>554</v>
      </c>
    </row>
    <row r="318" spans="1:16" x14ac:dyDescent="0.25">
      <c r="A318" t="s">
        <v>267</v>
      </c>
      <c r="B318" t="s">
        <v>37</v>
      </c>
      <c r="C318" s="11">
        <v>45088.851087962961</v>
      </c>
      <c r="D318" s="11">
        <v>45088.86614583333</v>
      </c>
      <c r="E318" t="s">
        <v>23</v>
      </c>
      <c r="F318">
        <v>13011</v>
      </c>
      <c r="G318" t="s">
        <v>24</v>
      </c>
      <c r="H318">
        <v>13263</v>
      </c>
      <c r="I318">
        <v>41.879156999999999</v>
      </c>
      <c r="J318">
        <v>-87.640353000000005</v>
      </c>
      <c r="K318">
        <v>41.884725000000003</v>
      </c>
      <c r="L318">
        <v>-87.619898000000006</v>
      </c>
      <c r="M318" t="s">
        <v>17</v>
      </c>
      <c r="N318" s="12">
        <v>1.5057870370370369E-2</v>
      </c>
      <c r="O318">
        <v>1</v>
      </c>
      <c r="P318" t="s">
        <v>554</v>
      </c>
    </row>
    <row r="319" spans="1:16" x14ac:dyDescent="0.25">
      <c r="A319" t="s">
        <v>268</v>
      </c>
      <c r="B319" t="s">
        <v>14</v>
      </c>
      <c r="C319" s="11">
        <v>45089.689918981479</v>
      </c>
      <c r="D319" s="11">
        <v>45089.701898148145</v>
      </c>
      <c r="E319" t="s">
        <v>21</v>
      </c>
      <c r="F319">
        <v>21213</v>
      </c>
      <c r="G319" t="s">
        <v>23</v>
      </c>
      <c r="H319">
        <v>13011</v>
      </c>
      <c r="I319">
        <v>41.835101999999999</v>
      </c>
      <c r="J319">
        <v>-87.625484999999998</v>
      </c>
      <c r="K319">
        <v>41.879381000000002</v>
      </c>
      <c r="L319">
        <v>-87.640328999999994</v>
      </c>
      <c r="M319" t="s">
        <v>17</v>
      </c>
      <c r="N319" s="12">
        <v>1.1979166666666666E-2</v>
      </c>
      <c r="O319">
        <v>2</v>
      </c>
      <c r="P319" t="s">
        <v>555</v>
      </c>
    </row>
    <row r="320" spans="1:16" x14ac:dyDescent="0.25">
      <c r="A320">
        <v>564793002368730</v>
      </c>
      <c r="B320" t="s">
        <v>26</v>
      </c>
      <c r="C320" s="11">
        <v>45090.369733796295</v>
      </c>
      <c r="D320" s="11">
        <v>45090.373842592591</v>
      </c>
      <c r="E320" t="s">
        <v>30</v>
      </c>
      <c r="F320">
        <v>13137</v>
      </c>
      <c r="G320" t="s">
        <v>19</v>
      </c>
      <c r="H320" t="s">
        <v>20</v>
      </c>
      <c r="I320">
        <v>41.937542999999998</v>
      </c>
      <c r="J320">
        <v>-87.644311999999999</v>
      </c>
      <c r="K320">
        <v>41.926023999999998</v>
      </c>
      <c r="L320">
        <v>-87.630689000000004</v>
      </c>
      <c r="M320" t="s">
        <v>17</v>
      </c>
      <c r="N320" s="12">
        <v>4.108796296296297E-3</v>
      </c>
      <c r="O320">
        <v>3</v>
      </c>
      <c r="P320" t="s">
        <v>556</v>
      </c>
    </row>
    <row r="321" spans="1:16" x14ac:dyDescent="0.25">
      <c r="A321" t="s">
        <v>273</v>
      </c>
      <c r="B321" t="s">
        <v>14</v>
      </c>
      <c r="C321" s="11">
        <v>45093.651828703703</v>
      </c>
      <c r="D321" s="11">
        <v>45093.658599537041</v>
      </c>
      <c r="E321" t="s">
        <v>66</v>
      </c>
      <c r="F321">
        <v>13042</v>
      </c>
      <c r="G321" t="s">
        <v>19</v>
      </c>
      <c r="H321" t="s">
        <v>20</v>
      </c>
      <c r="I321">
        <v>41.901038</v>
      </c>
      <c r="J321">
        <v>-87.624003000000002</v>
      </c>
      <c r="K321">
        <v>41.925856000000003</v>
      </c>
      <c r="L321">
        <v>-87.631247999999999</v>
      </c>
      <c r="M321" t="s">
        <v>17</v>
      </c>
      <c r="N321" s="12">
        <v>6.7708333333333336E-3</v>
      </c>
      <c r="O321">
        <v>6</v>
      </c>
      <c r="P321" t="s">
        <v>559</v>
      </c>
    </row>
    <row r="322" spans="1:16" x14ac:dyDescent="0.25">
      <c r="A322" t="s">
        <v>274</v>
      </c>
      <c r="B322" t="s">
        <v>37</v>
      </c>
      <c r="C322" s="11">
        <v>45094.2340625</v>
      </c>
      <c r="D322" s="11">
        <v>45094.260601851849</v>
      </c>
      <c r="E322" t="s">
        <v>33</v>
      </c>
      <c r="F322" t="s">
        <v>34</v>
      </c>
      <c r="G322" t="s">
        <v>16</v>
      </c>
      <c r="H322">
        <v>13045</v>
      </c>
      <c r="I322">
        <v>41.886574000000003</v>
      </c>
      <c r="J322">
        <v>-87.612628999999998</v>
      </c>
      <c r="K322">
        <v>41.893932</v>
      </c>
      <c r="L322">
        <v>-87.629695999999996</v>
      </c>
      <c r="M322" t="s">
        <v>17</v>
      </c>
      <c r="N322" s="12">
        <v>2.6539351851851852E-2</v>
      </c>
      <c r="O322">
        <v>7</v>
      </c>
      <c r="P322" t="s">
        <v>560</v>
      </c>
    </row>
    <row r="323" spans="1:16" x14ac:dyDescent="0.25">
      <c r="A323" t="s">
        <v>277</v>
      </c>
      <c r="B323" t="s">
        <v>14</v>
      </c>
      <c r="C323" s="11">
        <v>45095.695798611108</v>
      </c>
      <c r="D323" s="11">
        <v>45095.699293981481</v>
      </c>
      <c r="E323" t="s">
        <v>24</v>
      </c>
      <c r="F323">
        <v>13263</v>
      </c>
      <c r="G323" t="s">
        <v>35</v>
      </c>
      <c r="H323">
        <v>13022</v>
      </c>
      <c r="I323">
        <v>41.884791999999997</v>
      </c>
      <c r="J323">
        <v>-87.619420000000005</v>
      </c>
      <c r="K323">
        <v>41.891944000000002</v>
      </c>
      <c r="L323">
        <v>-87.612162999999995</v>
      </c>
      <c r="M323" t="s">
        <v>17</v>
      </c>
      <c r="N323" s="12">
        <v>3.4953703703703705E-3</v>
      </c>
      <c r="O323">
        <v>1</v>
      </c>
      <c r="P323" t="s">
        <v>554</v>
      </c>
    </row>
    <row r="324" spans="1:16" x14ac:dyDescent="0.25">
      <c r="A324" t="s">
        <v>278</v>
      </c>
      <c r="B324" t="s">
        <v>14</v>
      </c>
      <c r="C324" s="11">
        <v>45097.708738425928</v>
      </c>
      <c r="D324" s="11">
        <v>45097.735196759262</v>
      </c>
      <c r="E324" t="s">
        <v>21</v>
      </c>
      <c r="F324">
        <v>21213</v>
      </c>
      <c r="G324" t="s">
        <v>23</v>
      </c>
      <c r="H324">
        <v>13011</v>
      </c>
      <c r="I324">
        <v>41.835163999999999</v>
      </c>
      <c r="J324">
        <v>-87.625505000000004</v>
      </c>
      <c r="K324">
        <v>41.879387999999999</v>
      </c>
      <c r="L324">
        <v>-87.639533</v>
      </c>
      <c r="M324" t="s">
        <v>17</v>
      </c>
      <c r="N324" s="12">
        <v>2.6458333333333334E-2</v>
      </c>
      <c r="O324">
        <v>3</v>
      </c>
      <c r="P324" t="s">
        <v>556</v>
      </c>
    </row>
    <row r="325" spans="1:16" x14ac:dyDescent="0.25">
      <c r="A325" t="s">
        <v>282</v>
      </c>
      <c r="B325" t="s">
        <v>14</v>
      </c>
      <c r="C325" s="11">
        <v>45104.339629629627</v>
      </c>
      <c r="D325" s="11">
        <v>45104.342905092592</v>
      </c>
      <c r="E325" t="s">
        <v>33</v>
      </c>
      <c r="F325" t="s">
        <v>34</v>
      </c>
      <c r="G325" t="s">
        <v>33</v>
      </c>
      <c r="H325" t="s">
        <v>34</v>
      </c>
      <c r="I325">
        <v>41.886564</v>
      </c>
      <c r="J325">
        <v>-87.613174000000001</v>
      </c>
      <c r="K325">
        <v>41.886479000000001</v>
      </c>
      <c r="L325">
        <v>-87.613196000000002</v>
      </c>
      <c r="M325" t="s">
        <v>17</v>
      </c>
      <c r="N325" s="12">
        <v>3.2754629629629631E-3</v>
      </c>
      <c r="O325">
        <v>3</v>
      </c>
      <c r="P325" t="s">
        <v>556</v>
      </c>
    </row>
    <row r="326" spans="1:16" x14ac:dyDescent="0.25">
      <c r="A326" t="s">
        <v>283</v>
      </c>
      <c r="B326" t="s">
        <v>37</v>
      </c>
      <c r="C326" s="11">
        <v>45104.619270833333</v>
      </c>
      <c r="D326" s="11">
        <v>45104.636203703703</v>
      </c>
      <c r="E326" t="s">
        <v>27</v>
      </c>
      <c r="F326" t="s">
        <v>28</v>
      </c>
      <c r="G326" t="s">
        <v>27</v>
      </c>
      <c r="H326" t="s">
        <v>28</v>
      </c>
      <c r="I326">
        <v>41.888796999999997</v>
      </c>
      <c r="J326">
        <v>-87.638088999999994</v>
      </c>
      <c r="K326">
        <v>41.889398</v>
      </c>
      <c r="L326">
        <v>-87.638604999999998</v>
      </c>
      <c r="M326" t="s">
        <v>17</v>
      </c>
      <c r="N326" s="12">
        <v>1.6932870370370369E-2</v>
      </c>
      <c r="O326">
        <v>3</v>
      </c>
      <c r="P326" t="s">
        <v>556</v>
      </c>
    </row>
    <row r="327" spans="1:16" x14ac:dyDescent="0.25">
      <c r="A327" t="s">
        <v>284</v>
      </c>
      <c r="B327" t="s">
        <v>37</v>
      </c>
      <c r="C327" s="11">
        <v>45106.009328703702</v>
      </c>
      <c r="D327" s="11">
        <v>45106.016851851855</v>
      </c>
      <c r="E327" t="s">
        <v>27</v>
      </c>
      <c r="F327" t="s">
        <v>28</v>
      </c>
      <c r="G327" t="s">
        <v>15</v>
      </c>
      <c r="H327">
        <v>13008</v>
      </c>
      <c r="I327">
        <v>41.889484000000003</v>
      </c>
      <c r="J327">
        <v>-87.638530000000003</v>
      </c>
      <c r="K327">
        <v>41.881528000000003</v>
      </c>
      <c r="L327">
        <v>-87.624525000000006</v>
      </c>
      <c r="M327" t="s">
        <v>17</v>
      </c>
      <c r="N327" s="12">
        <v>7.5231481481481477E-3</v>
      </c>
      <c r="O327">
        <v>5</v>
      </c>
      <c r="P327" t="s">
        <v>558</v>
      </c>
    </row>
    <row r="328" spans="1:16" x14ac:dyDescent="0.25">
      <c r="A328" t="s">
        <v>285</v>
      </c>
      <c r="B328" t="s">
        <v>37</v>
      </c>
      <c r="C328" s="11">
        <v>45107.59516203704</v>
      </c>
      <c r="D328" s="11">
        <v>45107.599490740744</v>
      </c>
      <c r="E328" t="s">
        <v>43</v>
      </c>
      <c r="F328" t="s">
        <v>44</v>
      </c>
      <c r="G328" t="s">
        <v>43</v>
      </c>
      <c r="H328" t="s">
        <v>44</v>
      </c>
      <c r="I328">
        <v>41.903320000000001</v>
      </c>
      <c r="J328">
        <v>-87.634217000000007</v>
      </c>
      <c r="K328">
        <v>41.902970000000003</v>
      </c>
      <c r="L328">
        <v>-87.634265999999997</v>
      </c>
      <c r="M328" t="s">
        <v>17</v>
      </c>
      <c r="N328" s="12">
        <v>4.3287037037037035E-3</v>
      </c>
      <c r="O328">
        <v>6</v>
      </c>
      <c r="P328" t="s">
        <v>559</v>
      </c>
    </row>
    <row r="329" spans="1:16" x14ac:dyDescent="0.25">
      <c r="A329" t="s">
        <v>289</v>
      </c>
      <c r="B329" t="s">
        <v>37</v>
      </c>
      <c r="C329" s="11">
        <v>45108.953206018516</v>
      </c>
      <c r="D329" s="11">
        <v>45108.95689814815</v>
      </c>
      <c r="E329" t="s">
        <v>23</v>
      </c>
      <c r="F329">
        <v>13011</v>
      </c>
      <c r="G329" t="s">
        <v>27</v>
      </c>
      <c r="H329" t="s">
        <v>28</v>
      </c>
      <c r="I329">
        <v>41.879556000000001</v>
      </c>
      <c r="J329">
        <v>-87.63973</v>
      </c>
      <c r="K329">
        <v>41.888683</v>
      </c>
      <c r="L329">
        <v>-87.638540000000006</v>
      </c>
      <c r="M329" t="s">
        <v>17</v>
      </c>
      <c r="N329" s="12">
        <v>3.6921296296296298E-3</v>
      </c>
      <c r="O329">
        <v>7</v>
      </c>
      <c r="P329" t="s">
        <v>560</v>
      </c>
    </row>
    <row r="330" spans="1:16" x14ac:dyDescent="0.25">
      <c r="A330" t="s">
        <v>290</v>
      </c>
      <c r="B330" t="s">
        <v>14</v>
      </c>
      <c r="C330" s="11">
        <v>45109.411736111113</v>
      </c>
      <c r="D330" s="11">
        <v>45109.417187500003</v>
      </c>
      <c r="E330" t="s">
        <v>35</v>
      </c>
      <c r="F330">
        <v>13022</v>
      </c>
      <c r="G330" t="s">
        <v>21</v>
      </c>
      <c r="H330">
        <v>21213</v>
      </c>
      <c r="I330">
        <v>41.892544999999998</v>
      </c>
      <c r="J330">
        <v>-87.611808999999994</v>
      </c>
      <c r="K330">
        <v>41.834533</v>
      </c>
      <c r="L330">
        <v>-87.626140000000007</v>
      </c>
      <c r="M330" t="s">
        <v>17</v>
      </c>
      <c r="N330" s="12">
        <v>5.4513888888888884E-3</v>
      </c>
      <c r="O330">
        <v>1</v>
      </c>
      <c r="P330" t="s">
        <v>554</v>
      </c>
    </row>
    <row r="331" spans="1:16" x14ac:dyDescent="0.25">
      <c r="A331" t="s">
        <v>291</v>
      </c>
      <c r="B331" t="s">
        <v>14</v>
      </c>
      <c r="C331" s="11">
        <v>45114.561469907407</v>
      </c>
      <c r="D331" s="11">
        <v>45114.565775462965</v>
      </c>
      <c r="E331" t="s">
        <v>41</v>
      </c>
      <c r="F331" t="s">
        <v>42</v>
      </c>
      <c r="G331" t="s">
        <v>41</v>
      </c>
      <c r="H331" t="s">
        <v>42</v>
      </c>
      <c r="I331">
        <v>41.903191999999997</v>
      </c>
      <c r="J331">
        <v>-87.631507999999997</v>
      </c>
      <c r="K331">
        <v>41.902788999999999</v>
      </c>
      <c r="L331">
        <v>-87.630934999999994</v>
      </c>
      <c r="M331" t="s">
        <v>17</v>
      </c>
      <c r="N331" s="12">
        <v>4.3055555555555555E-3</v>
      </c>
      <c r="O331">
        <v>6</v>
      </c>
      <c r="P331" t="s">
        <v>559</v>
      </c>
    </row>
    <row r="332" spans="1:16" x14ac:dyDescent="0.25">
      <c r="A332" t="s">
        <v>292</v>
      </c>
      <c r="B332" t="s">
        <v>37</v>
      </c>
      <c r="C332" s="11">
        <v>45114.721180555556</v>
      </c>
      <c r="D332" s="11">
        <v>45114.734247685185</v>
      </c>
      <c r="E332" t="s">
        <v>16</v>
      </c>
      <c r="F332">
        <v>13045</v>
      </c>
      <c r="G332" t="s">
        <v>16</v>
      </c>
      <c r="H332">
        <v>13045</v>
      </c>
      <c r="I332">
        <v>41.893500000000003</v>
      </c>
      <c r="J332">
        <v>-87.629187000000002</v>
      </c>
      <c r="K332">
        <v>41.893940000000001</v>
      </c>
      <c r="L332">
        <v>-87.629683999999997</v>
      </c>
      <c r="M332" t="s">
        <v>17</v>
      </c>
      <c r="N332" s="12">
        <v>1.306712962962963E-2</v>
      </c>
      <c r="O332">
        <v>6</v>
      </c>
      <c r="P332" t="s">
        <v>559</v>
      </c>
    </row>
    <row r="333" spans="1:16" x14ac:dyDescent="0.25">
      <c r="A333" t="s">
        <v>293</v>
      </c>
      <c r="B333" t="s">
        <v>14</v>
      </c>
      <c r="C333" s="11">
        <v>45115.08384259259</v>
      </c>
      <c r="D333" s="11">
        <v>45115.087939814817</v>
      </c>
      <c r="E333" t="s">
        <v>57</v>
      </c>
      <c r="F333" t="s">
        <v>58</v>
      </c>
      <c r="G333" t="s">
        <v>24</v>
      </c>
      <c r="H333">
        <v>13263</v>
      </c>
      <c r="I333">
        <v>41.912356000000003</v>
      </c>
      <c r="J333">
        <v>-87.635052000000002</v>
      </c>
      <c r="K333">
        <v>41.884453000000001</v>
      </c>
      <c r="L333">
        <v>-87.619318000000007</v>
      </c>
      <c r="M333" t="s">
        <v>17</v>
      </c>
      <c r="N333" s="12">
        <v>4.0972222222222226E-3</v>
      </c>
      <c r="O333">
        <v>7</v>
      </c>
      <c r="P333" t="s">
        <v>560</v>
      </c>
    </row>
    <row r="334" spans="1:16" x14ac:dyDescent="0.25">
      <c r="A334" t="s">
        <v>294</v>
      </c>
      <c r="B334" t="s">
        <v>37</v>
      </c>
      <c r="C334" s="11">
        <v>45115.967662037037</v>
      </c>
      <c r="D334" s="11">
        <v>45115.979664351849</v>
      </c>
      <c r="E334" t="s">
        <v>30</v>
      </c>
      <c r="F334">
        <v>13137</v>
      </c>
      <c r="G334" t="s">
        <v>41</v>
      </c>
      <c r="H334" t="s">
        <v>42</v>
      </c>
      <c r="I334">
        <v>41.937714</v>
      </c>
      <c r="J334">
        <v>-87.644543999999996</v>
      </c>
      <c r="K334">
        <v>41.903117000000002</v>
      </c>
      <c r="L334">
        <v>-87.630806000000007</v>
      </c>
      <c r="M334" t="s">
        <v>17</v>
      </c>
      <c r="N334" s="12">
        <v>1.2002314814814815E-2</v>
      </c>
      <c r="O334">
        <v>7</v>
      </c>
      <c r="P334" t="s">
        <v>560</v>
      </c>
    </row>
    <row r="335" spans="1:16" x14ac:dyDescent="0.25">
      <c r="A335" t="s">
        <v>295</v>
      </c>
      <c r="B335" t="s">
        <v>37</v>
      </c>
      <c r="C335" s="11">
        <v>45116.720972222225</v>
      </c>
      <c r="D335" s="11">
        <v>45116.726793981485</v>
      </c>
      <c r="E335" t="s">
        <v>30</v>
      </c>
      <c r="F335">
        <v>13137</v>
      </c>
      <c r="G335" t="s">
        <v>24</v>
      </c>
      <c r="H335">
        <v>13263</v>
      </c>
      <c r="I335">
        <v>41.937994000000003</v>
      </c>
      <c r="J335">
        <v>-87.644375999999994</v>
      </c>
      <c r="K335">
        <v>41.884284000000001</v>
      </c>
      <c r="L335">
        <v>-87.619765000000001</v>
      </c>
      <c r="M335" t="s">
        <v>17</v>
      </c>
      <c r="N335" s="12">
        <v>5.8217592592592592E-3</v>
      </c>
      <c r="O335">
        <v>1</v>
      </c>
      <c r="P335" t="s">
        <v>554</v>
      </c>
    </row>
    <row r="336" spans="1:16" x14ac:dyDescent="0.25">
      <c r="A336" t="s">
        <v>297</v>
      </c>
      <c r="B336" t="s">
        <v>37</v>
      </c>
      <c r="C336" s="11">
        <v>45117.815057870372</v>
      </c>
      <c r="D336" s="11">
        <v>45117.831909722219</v>
      </c>
      <c r="E336" t="s">
        <v>19</v>
      </c>
      <c r="F336" t="s">
        <v>20</v>
      </c>
      <c r="G336" t="s">
        <v>47</v>
      </c>
      <c r="H336" t="s">
        <v>48</v>
      </c>
      <c r="I336">
        <v>41.926571000000003</v>
      </c>
      <c r="J336">
        <v>-87.631175999999996</v>
      </c>
      <c r="K336">
        <v>41.881793999999999</v>
      </c>
      <c r="L336">
        <v>-87.641008999999997</v>
      </c>
      <c r="M336" t="s">
        <v>17</v>
      </c>
      <c r="N336" s="12">
        <v>1.6851851851851851E-2</v>
      </c>
      <c r="O336">
        <v>2</v>
      </c>
      <c r="P336" t="s">
        <v>555</v>
      </c>
    </row>
    <row r="337" spans="1:16" x14ac:dyDescent="0.25">
      <c r="A337" t="s">
        <v>299</v>
      </c>
      <c r="B337" t="s">
        <v>14</v>
      </c>
      <c r="C337" s="11">
        <v>45118.864166666666</v>
      </c>
      <c r="D337" s="11">
        <v>45118.867719907408</v>
      </c>
      <c r="E337" t="s">
        <v>21</v>
      </c>
      <c r="F337">
        <v>21213</v>
      </c>
      <c r="G337" t="s">
        <v>35</v>
      </c>
      <c r="H337">
        <v>13022</v>
      </c>
      <c r="I337">
        <v>41.834685</v>
      </c>
      <c r="J337">
        <v>-87.625444000000002</v>
      </c>
      <c r="K337">
        <v>41.892308</v>
      </c>
      <c r="L337">
        <v>-87.612075000000004</v>
      </c>
      <c r="M337" t="s">
        <v>17</v>
      </c>
      <c r="N337" s="12">
        <v>3.5532407407407405E-3</v>
      </c>
      <c r="O337">
        <v>3</v>
      </c>
      <c r="P337" t="s">
        <v>556</v>
      </c>
    </row>
    <row r="338" spans="1:16" x14ac:dyDescent="0.25">
      <c r="A338" t="s">
        <v>301</v>
      </c>
      <c r="B338" t="s">
        <v>14</v>
      </c>
      <c r="C338" s="11">
        <v>45124.387488425928</v>
      </c>
      <c r="D338" s="11">
        <v>45124.393831018519</v>
      </c>
      <c r="E338" t="s">
        <v>16</v>
      </c>
      <c r="F338">
        <v>13045</v>
      </c>
      <c r="G338" t="s">
        <v>43</v>
      </c>
      <c r="H338" t="s">
        <v>44</v>
      </c>
      <c r="I338">
        <v>41.894058000000001</v>
      </c>
      <c r="J338">
        <v>-87.628838000000002</v>
      </c>
      <c r="K338">
        <v>41.902887</v>
      </c>
      <c r="L338">
        <v>-87.634124</v>
      </c>
      <c r="M338" t="s">
        <v>17</v>
      </c>
      <c r="N338" s="12">
        <v>6.3425925925925915E-3</v>
      </c>
      <c r="O338">
        <v>2</v>
      </c>
      <c r="P338" t="s">
        <v>555</v>
      </c>
    </row>
    <row r="339" spans="1:16" x14ac:dyDescent="0.25">
      <c r="A339" t="s">
        <v>303</v>
      </c>
      <c r="B339" t="s">
        <v>14</v>
      </c>
      <c r="C339" s="11">
        <v>45125.083657407406</v>
      </c>
      <c r="D339" s="11">
        <v>45125.100694444445</v>
      </c>
      <c r="E339" t="s">
        <v>35</v>
      </c>
      <c r="F339">
        <v>13022</v>
      </c>
      <c r="G339" t="s">
        <v>16</v>
      </c>
      <c r="H339">
        <v>13045</v>
      </c>
      <c r="I339">
        <v>41.892356999999997</v>
      </c>
      <c r="J339">
        <v>-87.612459999999999</v>
      </c>
      <c r="K339">
        <v>41.893647000000001</v>
      </c>
      <c r="L339">
        <v>-87.629378000000003</v>
      </c>
      <c r="M339" t="s">
        <v>17</v>
      </c>
      <c r="N339" s="12">
        <v>1.7037037037037038E-2</v>
      </c>
      <c r="O339">
        <v>3</v>
      </c>
      <c r="P339" t="s">
        <v>556</v>
      </c>
    </row>
    <row r="340" spans="1:16" x14ac:dyDescent="0.25">
      <c r="A340" t="s">
        <v>304</v>
      </c>
      <c r="B340" t="s">
        <v>14</v>
      </c>
      <c r="C340" s="11">
        <v>45125.607002314813</v>
      </c>
      <c r="D340" s="11">
        <v>45125.619803240741</v>
      </c>
      <c r="E340" t="s">
        <v>24</v>
      </c>
      <c r="F340">
        <v>13263</v>
      </c>
      <c r="G340" t="s">
        <v>33</v>
      </c>
      <c r="H340" t="s">
        <v>34</v>
      </c>
      <c r="I340">
        <v>41.885128000000002</v>
      </c>
      <c r="J340">
        <v>-87.619393000000002</v>
      </c>
      <c r="K340">
        <v>41.886915000000002</v>
      </c>
      <c r="L340">
        <v>-87.613274000000004</v>
      </c>
      <c r="M340" t="s">
        <v>17</v>
      </c>
      <c r="N340" s="12">
        <v>1.2800925925925926E-2</v>
      </c>
      <c r="O340">
        <v>3</v>
      </c>
      <c r="P340" t="s">
        <v>556</v>
      </c>
    </row>
    <row r="341" spans="1:16" x14ac:dyDescent="0.25">
      <c r="A341" t="s">
        <v>305</v>
      </c>
      <c r="B341" t="s">
        <v>37</v>
      </c>
      <c r="C341" s="11">
        <v>45126.504247685189</v>
      </c>
      <c r="D341" s="11">
        <v>45126.510555555556</v>
      </c>
      <c r="E341" t="s">
        <v>24</v>
      </c>
      <c r="F341">
        <v>13263</v>
      </c>
      <c r="G341" t="s">
        <v>16</v>
      </c>
      <c r="H341">
        <v>13045</v>
      </c>
      <c r="I341">
        <v>41.884594999999997</v>
      </c>
      <c r="J341">
        <v>-87.619934000000001</v>
      </c>
      <c r="K341">
        <v>41.894049000000003</v>
      </c>
      <c r="L341">
        <v>-87.628973000000002</v>
      </c>
      <c r="M341" t="s">
        <v>17</v>
      </c>
      <c r="N341" s="12">
        <v>6.3078703703703708E-3</v>
      </c>
      <c r="O341">
        <v>4</v>
      </c>
      <c r="P341" t="s">
        <v>557</v>
      </c>
    </row>
    <row r="342" spans="1:16" x14ac:dyDescent="0.25">
      <c r="A342" t="s">
        <v>306</v>
      </c>
      <c r="B342" t="s">
        <v>14</v>
      </c>
      <c r="C342" s="11">
        <v>45127.506909722222</v>
      </c>
      <c r="D342" s="11">
        <v>45127.522696759261</v>
      </c>
      <c r="E342" t="s">
        <v>24</v>
      </c>
      <c r="F342">
        <v>13263</v>
      </c>
      <c r="G342" t="s">
        <v>16</v>
      </c>
      <c r="H342">
        <v>13045</v>
      </c>
      <c r="I342">
        <v>41.884987000000002</v>
      </c>
      <c r="J342">
        <v>-87.620006000000004</v>
      </c>
      <c r="K342">
        <v>41.893698999999998</v>
      </c>
      <c r="L342">
        <v>-87.629104999999996</v>
      </c>
      <c r="M342" t="s">
        <v>17</v>
      </c>
      <c r="N342" s="12">
        <v>1.5787037037037037E-2</v>
      </c>
      <c r="O342">
        <v>5</v>
      </c>
      <c r="P342" t="s">
        <v>558</v>
      </c>
    </row>
    <row r="343" spans="1:16" x14ac:dyDescent="0.25">
      <c r="A343" t="s">
        <v>307</v>
      </c>
      <c r="B343" t="s">
        <v>14</v>
      </c>
      <c r="C343" s="11">
        <v>45127.695497685185</v>
      </c>
      <c r="D343" s="11">
        <v>45127.712013888886</v>
      </c>
      <c r="E343" t="s">
        <v>15</v>
      </c>
      <c r="F343">
        <v>13008</v>
      </c>
      <c r="G343" t="s">
        <v>33</v>
      </c>
      <c r="H343" t="s">
        <v>34</v>
      </c>
      <c r="I343">
        <v>41.880958</v>
      </c>
      <c r="J343">
        <v>-87.624036000000004</v>
      </c>
      <c r="K343">
        <v>41.886651000000001</v>
      </c>
      <c r="L343">
        <v>-87.613016999999999</v>
      </c>
      <c r="M343" t="s">
        <v>17</v>
      </c>
      <c r="N343" s="12">
        <v>1.6516203703703703E-2</v>
      </c>
      <c r="O343">
        <v>5</v>
      </c>
      <c r="P343" t="s">
        <v>558</v>
      </c>
    </row>
    <row r="344" spans="1:16" x14ac:dyDescent="0.25">
      <c r="A344" t="s">
        <v>308</v>
      </c>
      <c r="B344" t="s">
        <v>37</v>
      </c>
      <c r="C344" s="11">
        <v>45128.269143518519</v>
      </c>
      <c r="D344" s="11">
        <v>45128.286770833336</v>
      </c>
      <c r="E344" t="s">
        <v>35</v>
      </c>
      <c r="F344">
        <v>13022</v>
      </c>
      <c r="G344" t="s">
        <v>35</v>
      </c>
      <c r="H344">
        <v>13022</v>
      </c>
      <c r="I344">
        <v>41.892471999999998</v>
      </c>
      <c r="J344">
        <v>-87.612460999999996</v>
      </c>
      <c r="K344">
        <v>41.892688999999997</v>
      </c>
      <c r="L344">
        <v>-87.612078999999994</v>
      </c>
      <c r="M344" t="s">
        <v>17</v>
      </c>
      <c r="N344" s="12">
        <v>1.7627314814814814E-2</v>
      </c>
      <c r="O344">
        <v>6</v>
      </c>
      <c r="P344" t="s">
        <v>559</v>
      </c>
    </row>
    <row r="345" spans="1:16" x14ac:dyDescent="0.25">
      <c r="A345" t="s">
        <v>309</v>
      </c>
      <c r="B345" t="s">
        <v>14</v>
      </c>
      <c r="C345" s="11">
        <v>45128.355532407404</v>
      </c>
      <c r="D345" s="11">
        <v>45128.360486111109</v>
      </c>
      <c r="E345" t="s">
        <v>35</v>
      </c>
      <c r="F345">
        <v>13022</v>
      </c>
      <c r="G345" t="s">
        <v>16</v>
      </c>
      <c r="H345">
        <v>13045</v>
      </c>
      <c r="I345">
        <v>41.89226</v>
      </c>
      <c r="J345">
        <v>-87.612181000000007</v>
      </c>
      <c r="K345">
        <v>41.894441</v>
      </c>
      <c r="L345">
        <v>-87.629186000000004</v>
      </c>
      <c r="M345" t="s">
        <v>17</v>
      </c>
      <c r="N345" s="12">
        <v>4.9537037037037041E-3</v>
      </c>
      <c r="O345">
        <v>6</v>
      </c>
      <c r="P345" t="s">
        <v>559</v>
      </c>
    </row>
    <row r="346" spans="1:16" x14ac:dyDescent="0.25">
      <c r="A346" t="s">
        <v>311</v>
      </c>
      <c r="B346" t="s">
        <v>37</v>
      </c>
      <c r="C346" s="11">
        <v>45129.86010416667</v>
      </c>
      <c r="D346" s="11">
        <v>45129.866597222222</v>
      </c>
      <c r="E346" t="s">
        <v>30</v>
      </c>
      <c r="F346">
        <v>13137</v>
      </c>
      <c r="G346" t="s">
        <v>35</v>
      </c>
      <c r="H346">
        <v>13022</v>
      </c>
      <c r="I346">
        <v>41.937148999999998</v>
      </c>
      <c r="J346">
        <v>-87.644080000000002</v>
      </c>
      <c r="K346">
        <v>41.891928</v>
      </c>
      <c r="L346">
        <v>-87.611806000000001</v>
      </c>
      <c r="M346" t="s">
        <v>17</v>
      </c>
      <c r="N346" s="12">
        <v>6.4930555555555549E-3</v>
      </c>
      <c r="O346">
        <v>7</v>
      </c>
      <c r="P346" t="s">
        <v>560</v>
      </c>
    </row>
    <row r="347" spans="1:16" x14ac:dyDescent="0.25">
      <c r="A347" t="s">
        <v>312</v>
      </c>
      <c r="B347" t="s">
        <v>37</v>
      </c>
      <c r="C347" s="11">
        <v>45130.338055555556</v>
      </c>
      <c r="D347" s="11">
        <v>45130.36</v>
      </c>
      <c r="E347" t="s">
        <v>27</v>
      </c>
      <c r="F347" t="s">
        <v>28</v>
      </c>
      <c r="G347" t="s">
        <v>27</v>
      </c>
      <c r="H347" t="s">
        <v>28</v>
      </c>
      <c r="I347">
        <v>41.888846000000001</v>
      </c>
      <c r="J347">
        <v>-87.638037999999995</v>
      </c>
      <c r="K347">
        <v>41.889130000000002</v>
      </c>
      <c r="L347">
        <v>-87.638059999999996</v>
      </c>
      <c r="M347" t="s">
        <v>17</v>
      </c>
      <c r="N347" s="12">
        <v>2.1944444444444447E-2</v>
      </c>
      <c r="O347">
        <v>1</v>
      </c>
      <c r="P347" t="s">
        <v>554</v>
      </c>
    </row>
    <row r="348" spans="1:16" x14ac:dyDescent="0.25">
      <c r="A348" t="s">
        <v>313</v>
      </c>
      <c r="B348" t="s">
        <v>37</v>
      </c>
      <c r="C348" s="11">
        <v>45132.099293981482</v>
      </c>
      <c r="D348" s="11">
        <v>45132.107222222221</v>
      </c>
      <c r="E348" t="s">
        <v>15</v>
      </c>
      <c r="F348">
        <v>13008</v>
      </c>
      <c r="G348" t="s">
        <v>43</v>
      </c>
      <c r="H348" t="s">
        <v>44</v>
      </c>
      <c r="I348">
        <v>41.880771000000003</v>
      </c>
      <c r="J348">
        <v>-87.624053000000004</v>
      </c>
      <c r="K348">
        <v>41.903373000000002</v>
      </c>
      <c r="L348">
        <v>-87.634179000000003</v>
      </c>
      <c r="M348" t="s">
        <v>17</v>
      </c>
      <c r="N348" s="12">
        <v>7.9282407407407409E-3</v>
      </c>
      <c r="O348">
        <v>3</v>
      </c>
      <c r="P348" t="s">
        <v>556</v>
      </c>
    </row>
    <row r="349" spans="1:16" x14ac:dyDescent="0.25">
      <c r="A349" t="s">
        <v>314</v>
      </c>
      <c r="B349" t="s">
        <v>37</v>
      </c>
      <c r="C349" s="11">
        <v>45132.776562500003</v>
      </c>
      <c r="D349" s="11">
        <v>45132.82303240741</v>
      </c>
      <c r="E349" t="s">
        <v>43</v>
      </c>
      <c r="F349" t="s">
        <v>44</v>
      </c>
      <c r="G349" t="s">
        <v>47</v>
      </c>
      <c r="H349" t="s">
        <v>48</v>
      </c>
      <c r="I349">
        <v>41.903402</v>
      </c>
      <c r="J349">
        <v>-87.633877999999996</v>
      </c>
      <c r="K349">
        <v>41.882038000000001</v>
      </c>
      <c r="L349">
        <v>-87.641565</v>
      </c>
      <c r="M349" t="s">
        <v>17</v>
      </c>
      <c r="N349" s="12">
        <v>4.6469907407407411E-2</v>
      </c>
      <c r="O349">
        <v>3</v>
      </c>
      <c r="P349" t="s">
        <v>556</v>
      </c>
    </row>
    <row r="350" spans="1:16" x14ac:dyDescent="0.25">
      <c r="A350" t="s">
        <v>316</v>
      </c>
      <c r="B350" t="s">
        <v>37</v>
      </c>
      <c r="C350" s="11">
        <v>45133.148263888892</v>
      </c>
      <c r="D350" s="11">
        <v>45133.153344907405</v>
      </c>
      <c r="E350" t="s">
        <v>47</v>
      </c>
      <c r="F350" t="s">
        <v>48</v>
      </c>
      <c r="G350" t="s">
        <v>47</v>
      </c>
      <c r="H350" t="s">
        <v>48</v>
      </c>
      <c r="I350">
        <v>41.881791</v>
      </c>
      <c r="J350">
        <v>-87.641180000000006</v>
      </c>
      <c r="K350">
        <v>41.882095</v>
      </c>
      <c r="L350">
        <v>-87.641249999999999</v>
      </c>
      <c r="M350" t="s">
        <v>17</v>
      </c>
      <c r="N350" s="12">
        <v>5.0810185185185186E-3</v>
      </c>
      <c r="O350">
        <v>4</v>
      </c>
      <c r="P350" t="s">
        <v>557</v>
      </c>
    </row>
    <row r="351" spans="1:16" x14ac:dyDescent="0.25">
      <c r="A351" t="s">
        <v>318</v>
      </c>
      <c r="B351" t="s">
        <v>37</v>
      </c>
      <c r="C351" s="11">
        <v>45134.063668981478</v>
      </c>
      <c r="D351" s="11">
        <v>45134.087870370371</v>
      </c>
      <c r="E351" t="s">
        <v>41</v>
      </c>
      <c r="F351" t="s">
        <v>42</v>
      </c>
      <c r="G351" t="s">
        <v>35</v>
      </c>
      <c r="H351">
        <v>13022</v>
      </c>
      <c r="I351">
        <v>41.902641000000003</v>
      </c>
      <c r="J351">
        <v>-87.631424999999993</v>
      </c>
      <c r="K351">
        <v>41.892178000000001</v>
      </c>
      <c r="L351">
        <v>-87.612486000000004</v>
      </c>
      <c r="M351" t="s">
        <v>17</v>
      </c>
      <c r="N351" s="12">
        <v>2.4201388888888887E-2</v>
      </c>
      <c r="O351">
        <v>5</v>
      </c>
      <c r="P351" t="s">
        <v>558</v>
      </c>
    </row>
    <row r="352" spans="1:16" x14ac:dyDescent="0.25">
      <c r="A352" t="s">
        <v>319</v>
      </c>
      <c r="B352" t="s">
        <v>37</v>
      </c>
      <c r="C352" s="11">
        <v>45134.207604166666</v>
      </c>
      <c r="D352" s="11">
        <v>45134.216805555552</v>
      </c>
      <c r="E352" t="s">
        <v>41</v>
      </c>
      <c r="F352" t="s">
        <v>42</v>
      </c>
      <c r="G352" t="s">
        <v>16</v>
      </c>
      <c r="H352">
        <v>13045</v>
      </c>
      <c r="I352">
        <v>41.902864000000001</v>
      </c>
      <c r="J352">
        <v>-87.631710999999996</v>
      </c>
      <c r="K352">
        <v>41.894129999999997</v>
      </c>
      <c r="L352">
        <v>-87.629085000000003</v>
      </c>
      <c r="M352" t="s">
        <v>17</v>
      </c>
      <c r="N352" s="12">
        <v>9.2013888888888892E-3</v>
      </c>
      <c r="O352">
        <v>5</v>
      </c>
      <c r="P352" t="s">
        <v>558</v>
      </c>
    </row>
    <row r="353" spans="1:16" x14ac:dyDescent="0.25">
      <c r="A353" t="s">
        <v>320</v>
      </c>
      <c r="B353" t="s">
        <v>37</v>
      </c>
      <c r="C353" s="11">
        <v>45134.762141203704</v>
      </c>
      <c r="D353" s="11">
        <v>45134.769953703704</v>
      </c>
      <c r="E353" t="s">
        <v>23</v>
      </c>
      <c r="F353">
        <v>13011</v>
      </c>
      <c r="G353" t="s">
        <v>23</v>
      </c>
      <c r="H353">
        <v>13011</v>
      </c>
      <c r="I353">
        <v>41.879736000000001</v>
      </c>
      <c r="J353">
        <v>-87.639928999999995</v>
      </c>
      <c r="K353">
        <v>41.879137999999998</v>
      </c>
      <c r="L353">
        <v>-87.640283999999994</v>
      </c>
      <c r="M353" t="s">
        <v>17</v>
      </c>
      <c r="N353" s="12">
        <v>7.8125E-3</v>
      </c>
      <c r="O353">
        <v>5</v>
      </c>
      <c r="P353" t="s">
        <v>558</v>
      </c>
    </row>
    <row r="354" spans="1:16" x14ac:dyDescent="0.25">
      <c r="A354" t="s">
        <v>321</v>
      </c>
      <c r="B354" t="s">
        <v>14</v>
      </c>
      <c r="C354" s="11">
        <v>45134.994305555556</v>
      </c>
      <c r="D354" s="11">
        <v>45134.997210648151</v>
      </c>
      <c r="E354" t="s">
        <v>43</v>
      </c>
      <c r="F354" t="s">
        <v>44</v>
      </c>
      <c r="G354" t="s">
        <v>43</v>
      </c>
      <c r="H354" t="s">
        <v>44</v>
      </c>
      <c r="I354">
        <v>41.902844999999999</v>
      </c>
      <c r="J354">
        <v>-87.634304999999998</v>
      </c>
      <c r="K354">
        <v>41.902968000000001</v>
      </c>
      <c r="L354">
        <v>-87.634466000000003</v>
      </c>
      <c r="M354" t="s">
        <v>17</v>
      </c>
      <c r="N354" s="12">
        <v>2.9050925925925928E-3</v>
      </c>
      <c r="O354">
        <v>5</v>
      </c>
      <c r="P354" t="s">
        <v>558</v>
      </c>
    </row>
    <row r="355" spans="1:16" x14ac:dyDescent="0.25">
      <c r="A355" t="s">
        <v>323</v>
      </c>
      <c r="B355" t="s">
        <v>14</v>
      </c>
      <c r="C355" s="11">
        <v>45136.200115740743</v>
      </c>
      <c r="D355" s="11">
        <v>45136.242476851854</v>
      </c>
      <c r="E355" t="s">
        <v>27</v>
      </c>
      <c r="F355" t="s">
        <v>28</v>
      </c>
      <c r="G355" t="s">
        <v>16</v>
      </c>
      <c r="H355">
        <v>13045</v>
      </c>
      <c r="I355">
        <v>41.889468000000001</v>
      </c>
      <c r="J355">
        <v>-87.638403999999994</v>
      </c>
      <c r="K355">
        <v>41.894004000000002</v>
      </c>
      <c r="L355">
        <v>-87.629756999999998</v>
      </c>
      <c r="M355" t="s">
        <v>17</v>
      </c>
      <c r="N355" s="12">
        <v>4.2361111111111106E-2</v>
      </c>
      <c r="O355">
        <v>7</v>
      </c>
      <c r="P355" t="s">
        <v>560</v>
      </c>
    </row>
    <row r="356" spans="1:16" x14ac:dyDescent="0.25">
      <c r="A356" t="s">
        <v>325</v>
      </c>
      <c r="B356" t="s">
        <v>37</v>
      </c>
      <c r="C356" s="11">
        <v>45136.564351851855</v>
      </c>
      <c r="D356" s="11">
        <v>45136.570416666669</v>
      </c>
      <c r="E356" t="s">
        <v>30</v>
      </c>
      <c r="F356">
        <v>13137</v>
      </c>
      <c r="G356" t="s">
        <v>15</v>
      </c>
      <c r="H356">
        <v>13008</v>
      </c>
      <c r="I356">
        <v>41.938077999999997</v>
      </c>
      <c r="J356">
        <v>-87.643797000000006</v>
      </c>
      <c r="K356">
        <v>41.881377999999998</v>
      </c>
      <c r="L356">
        <v>-87.623948999999996</v>
      </c>
      <c r="M356" t="s">
        <v>17</v>
      </c>
      <c r="N356" s="12">
        <v>6.0648148148148145E-3</v>
      </c>
      <c r="O356">
        <v>7</v>
      </c>
      <c r="P356" t="s">
        <v>560</v>
      </c>
    </row>
    <row r="357" spans="1:16" x14ac:dyDescent="0.25">
      <c r="A357" t="s">
        <v>326</v>
      </c>
      <c r="B357" t="s">
        <v>14</v>
      </c>
      <c r="C357" s="11">
        <v>45136.967002314814</v>
      </c>
      <c r="D357" s="11">
        <v>45137.03402777778</v>
      </c>
      <c r="E357" t="s">
        <v>33</v>
      </c>
      <c r="F357" t="s">
        <v>34</v>
      </c>
      <c r="G357" t="s">
        <v>24</v>
      </c>
      <c r="H357">
        <v>13263</v>
      </c>
      <c r="I357">
        <v>41.886952000000001</v>
      </c>
      <c r="J357">
        <v>-87.612639000000001</v>
      </c>
      <c r="K357">
        <v>41.884990999999999</v>
      </c>
      <c r="L357">
        <v>-87.619975999999994</v>
      </c>
      <c r="M357" t="s">
        <v>17</v>
      </c>
      <c r="N357" s="12">
        <v>6.7025462962962967E-2</v>
      </c>
      <c r="O357">
        <v>7</v>
      </c>
      <c r="P357" t="s">
        <v>560</v>
      </c>
    </row>
    <row r="358" spans="1:16" x14ac:dyDescent="0.25">
      <c r="A358" t="s">
        <v>327</v>
      </c>
      <c r="B358" t="s">
        <v>37</v>
      </c>
      <c r="C358" s="11">
        <v>45137.438240740739</v>
      </c>
      <c r="D358" s="11">
        <v>45137.442013888889</v>
      </c>
      <c r="E358" t="s">
        <v>35</v>
      </c>
      <c r="F358">
        <v>13022</v>
      </c>
      <c r="G358" t="s">
        <v>35</v>
      </c>
      <c r="H358">
        <v>13022</v>
      </c>
      <c r="I358">
        <v>41.89199</v>
      </c>
      <c r="J358">
        <v>-87.611879000000002</v>
      </c>
      <c r="K358">
        <v>41.892189000000002</v>
      </c>
      <c r="L358">
        <v>-87.612140999999994</v>
      </c>
      <c r="M358" t="s">
        <v>17</v>
      </c>
      <c r="N358" s="12">
        <v>3.7731481481481483E-3</v>
      </c>
      <c r="O358">
        <v>1</v>
      </c>
      <c r="P358" t="s">
        <v>554</v>
      </c>
    </row>
    <row r="359" spans="1:16" x14ac:dyDescent="0.25">
      <c r="A359">
        <v>417567905823258</v>
      </c>
      <c r="B359" t="s">
        <v>14</v>
      </c>
      <c r="C359" s="11">
        <v>45140.163553240738</v>
      </c>
      <c r="D359" s="11">
        <v>45140.172442129631</v>
      </c>
      <c r="E359" t="s">
        <v>30</v>
      </c>
      <c r="F359">
        <v>13137</v>
      </c>
      <c r="G359" t="s">
        <v>16</v>
      </c>
      <c r="H359">
        <v>13045</v>
      </c>
      <c r="I359">
        <v>41.937897999999997</v>
      </c>
      <c r="J359">
        <v>-87.643737000000002</v>
      </c>
      <c r="K359">
        <v>41.894339000000002</v>
      </c>
      <c r="L359">
        <v>-87.628899000000004</v>
      </c>
      <c r="M359" t="s">
        <v>17</v>
      </c>
      <c r="N359" s="12">
        <v>8.8888888888888889E-3</v>
      </c>
      <c r="O359">
        <v>4</v>
      </c>
      <c r="P359" t="s">
        <v>557</v>
      </c>
    </row>
    <row r="360" spans="1:16" x14ac:dyDescent="0.25">
      <c r="A360" t="s">
        <v>331</v>
      </c>
      <c r="B360" t="s">
        <v>14</v>
      </c>
      <c r="C360" s="11">
        <v>45142.008020833331</v>
      </c>
      <c r="D360" s="11">
        <v>45142.024016203701</v>
      </c>
      <c r="E360" t="s">
        <v>43</v>
      </c>
      <c r="F360" t="s">
        <v>44</v>
      </c>
      <c r="G360" t="s">
        <v>33</v>
      </c>
      <c r="H360" t="s">
        <v>34</v>
      </c>
      <c r="I360">
        <v>41.903463000000002</v>
      </c>
      <c r="J360">
        <v>-87.634281000000001</v>
      </c>
      <c r="K360">
        <v>41.887129999999999</v>
      </c>
      <c r="L360">
        <v>-87.613039000000001</v>
      </c>
      <c r="M360" t="s">
        <v>17</v>
      </c>
      <c r="N360" s="12">
        <v>1.5995370370370372E-2</v>
      </c>
      <c r="O360">
        <v>6</v>
      </c>
      <c r="P360" t="s">
        <v>559</v>
      </c>
    </row>
    <row r="361" spans="1:16" x14ac:dyDescent="0.25">
      <c r="A361" t="s">
        <v>332</v>
      </c>
      <c r="B361" t="s">
        <v>37</v>
      </c>
      <c r="C361" s="11">
        <v>45142.020856481482</v>
      </c>
      <c r="D361" s="11">
        <v>45142.028090277781</v>
      </c>
      <c r="E361" t="s">
        <v>15</v>
      </c>
      <c r="F361">
        <v>13008</v>
      </c>
      <c r="G361" t="s">
        <v>41</v>
      </c>
      <c r="H361" t="s">
        <v>42</v>
      </c>
      <c r="I361">
        <v>41.881163999999998</v>
      </c>
      <c r="J361">
        <v>-87.624427999999995</v>
      </c>
      <c r="K361">
        <v>41.902946999999998</v>
      </c>
      <c r="L361">
        <v>-87.631063999999995</v>
      </c>
      <c r="M361" t="s">
        <v>17</v>
      </c>
      <c r="N361" s="12">
        <v>7.2337962962962963E-3</v>
      </c>
      <c r="O361">
        <v>6</v>
      </c>
      <c r="P361" t="s">
        <v>559</v>
      </c>
    </row>
    <row r="362" spans="1:16" x14ac:dyDescent="0.25">
      <c r="A362" t="s">
        <v>333</v>
      </c>
      <c r="B362" t="s">
        <v>37</v>
      </c>
      <c r="C362" s="11">
        <v>45142.219398148147</v>
      </c>
      <c r="D362" s="11">
        <v>45142.248796296299</v>
      </c>
      <c r="E362" t="s">
        <v>47</v>
      </c>
      <c r="F362" t="s">
        <v>48</v>
      </c>
      <c r="G362" t="s">
        <v>41</v>
      </c>
      <c r="H362" t="s">
        <v>42</v>
      </c>
      <c r="I362">
        <v>41.882328999999999</v>
      </c>
      <c r="J362">
        <v>-87.640601000000004</v>
      </c>
      <c r="K362">
        <v>41.903080000000003</v>
      </c>
      <c r="L362">
        <v>-87.631504000000007</v>
      </c>
      <c r="M362" t="s">
        <v>17</v>
      </c>
      <c r="N362" s="12">
        <v>2.9398148148148149E-2</v>
      </c>
      <c r="O362">
        <v>6</v>
      </c>
      <c r="P362" t="s">
        <v>559</v>
      </c>
    </row>
    <row r="363" spans="1:16" x14ac:dyDescent="0.25">
      <c r="A363" t="s">
        <v>338</v>
      </c>
      <c r="B363" t="s">
        <v>26</v>
      </c>
      <c r="C363" s="11">
        <v>45144.256574074076</v>
      </c>
      <c r="D363" s="11">
        <v>45144.276365740741</v>
      </c>
      <c r="E363" t="s">
        <v>30</v>
      </c>
      <c r="F363">
        <v>13137</v>
      </c>
      <c r="G363" t="s">
        <v>33</v>
      </c>
      <c r="H363" t="s">
        <v>34</v>
      </c>
      <c r="I363">
        <v>41.937424999999998</v>
      </c>
      <c r="J363">
        <v>-87.644065999999995</v>
      </c>
      <c r="K363">
        <v>41.886602000000003</v>
      </c>
      <c r="L363">
        <v>-87.61318</v>
      </c>
      <c r="M363" t="s">
        <v>17</v>
      </c>
      <c r="N363" s="12">
        <v>1.9791666666666666E-2</v>
      </c>
      <c r="O363">
        <v>1</v>
      </c>
      <c r="P363" t="s">
        <v>554</v>
      </c>
    </row>
    <row r="364" spans="1:16" x14ac:dyDescent="0.25">
      <c r="A364" t="s">
        <v>339</v>
      </c>
      <c r="B364" t="s">
        <v>14</v>
      </c>
      <c r="C364" s="11">
        <v>45146.746307870373</v>
      </c>
      <c r="D364" s="11">
        <v>45146.755844907406</v>
      </c>
      <c r="E364" t="s">
        <v>47</v>
      </c>
      <c r="F364" t="s">
        <v>48</v>
      </c>
      <c r="G364" t="s">
        <v>16</v>
      </c>
      <c r="H364">
        <v>13045</v>
      </c>
      <c r="I364">
        <v>41.882506999999997</v>
      </c>
      <c r="J364">
        <v>-87.641418999999999</v>
      </c>
      <c r="K364">
        <v>41.894182000000001</v>
      </c>
      <c r="L364">
        <v>-87.628872999999999</v>
      </c>
      <c r="M364" t="s">
        <v>17</v>
      </c>
      <c r="N364" s="12">
        <v>9.5370370370370366E-3</v>
      </c>
      <c r="O364">
        <v>3</v>
      </c>
      <c r="P364" t="s">
        <v>556</v>
      </c>
    </row>
    <row r="365" spans="1:16" x14ac:dyDescent="0.25">
      <c r="A365" t="s">
        <v>340</v>
      </c>
      <c r="B365" t="s">
        <v>37</v>
      </c>
      <c r="C365" s="11">
        <v>45146.753564814811</v>
      </c>
      <c r="D365" s="11">
        <v>45146.757002314815</v>
      </c>
      <c r="E365" t="s">
        <v>41</v>
      </c>
      <c r="F365" t="s">
        <v>42</v>
      </c>
      <c r="G365" t="s">
        <v>33</v>
      </c>
      <c r="H365" t="s">
        <v>34</v>
      </c>
      <c r="I365">
        <v>41.902523000000002</v>
      </c>
      <c r="J365">
        <v>-87.631726999999998</v>
      </c>
      <c r="K365">
        <v>41.887168000000003</v>
      </c>
      <c r="L365">
        <v>-87.612854999999996</v>
      </c>
      <c r="M365" t="s">
        <v>17</v>
      </c>
      <c r="N365" s="12">
        <v>3.4375E-3</v>
      </c>
      <c r="O365">
        <v>3</v>
      </c>
      <c r="P365" t="s">
        <v>556</v>
      </c>
    </row>
    <row r="366" spans="1:16" x14ac:dyDescent="0.25">
      <c r="A366" t="s">
        <v>342</v>
      </c>
      <c r="B366" t="s">
        <v>14</v>
      </c>
      <c r="C366" s="11">
        <v>45146.960115740738</v>
      </c>
      <c r="D366" s="11">
        <v>45146.965127314812</v>
      </c>
      <c r="E366" t="s">
        <v>30</v>
      </c>
      <c r="F366">
        <v>13137</v>
      </c>
      <c r="G366" t="s">
        <v>19</v>
      </c>
      <c r="H366" t="s">
        <v>20</v>
      </c>
      <c r="I366">
        <v>41.937511000000001</v>
      </c>
      <c r="J366">
        <v>-87.643753000000004</v>
      </c>
      <c r="K366">
        <v>41.926045000000002</v>
      </c>
      <c r="L366">
        <v>-87.631178000000006</v>
      </c>
      <c r="M366" t="s">
        <v>17</v>
      </c>
      <c r="N366" s="12">
        <v>5.0115740740740737E-3</v>
      </c>
      <c r="O366">
        <v>3</v>
      </c>
      <c r="P366" t="s">
        <v>556</v>
      </c>
    </row>
    <row r="367" spans="1:16" x14ac:dyDescent="0.25">
      <c r="A367" t="s">
        <v>343</v>
      </c>
      <c r="B367" t="s">
        <v>26</v>
      </c>
      <c r="C367" s="11">
        <v>45147.596168981479</v>
      </c>
      <c r="D367" s="11">
        <v>45147.608506944445</v>
      </c>
      <c r="E367" t="s">
        <v>33</v>
      </c>
      <c r="F367" t="s">
        <v>34</v>
      </c>
      <c r="G367" t="s">
        <v>16</v>
      </c>
      <c r="H367">
        <v>13045</v>
      </c>
      <c r="I367">
        <v>41.887067000000002</v>
      </c>
      <c r="J367">
        <v>-87.612660000000005</v>
      </c>
      <c r="K367">
        <v>41.893748000000002</v>
      </c>
      <c r="L367">
        <v>-87.629452999999998</v>
      </c>
      <c r="M367" t="s">
        <v>17</v>
      </c>
      <c r="N367" s="12">
        <v>1.2337962962962962E-2</v>
      </c>
      <c r="O367">
        <v>4</v>
      </c>
      <c r="P367" t="s">
        <v>557</v>
      </c>
    </row>
    <row r="368" spans="1:16" x14ac:dyDescent="0.25">
      <c r="A368" t="s">
        <v>345</v>
      </c>
      <c r="B368" t="s">
        <v>14</v>
      </c>
      <c r="C368" s="11">
        <v>45150.535219907404</v>
      </c>
      <c r="D368" s="11">
        <v>45150.538113425922</v>
      </c>
      <c r="E368" t="s">
        <v>66</v>
      </c>
      <c r="F368">
        <v>13042</v>
      </c>
      <c r="G368" t="s">
        <v>66</v>
      </c>
      <c r="H368">
        <v>13042</v>
      </c>
      <c r="I368">
        <v>41.901102999999999</v>
      </c>
      <c r="J368">
        <v>-87.623518000000004</v>
      </c>
      <c r="K368">
        <v>41.900959999999998</v>
      </c>
      <c r="L368">
        <v>-87.623734999999996</v>
      </c>
      <c r="M368" t="s">
        <v>17</v>
      </c>
      <c r="N368" s="12">
        <v>2.8935185185185188E-3</v>
      </c>
      <c r="O368">
        <v>7</v>
      </c>
      <c r="P368" t="s">
        <v>560</v>
      </c>
    </row>
    <row r="369" spans="1:16" x14ac:dyDescent="0.25">
      <c r="A369" t="s">
        <v>346</v>
      </c>
      <c r="B369" t="s">
        <v>14</v>
      </c>
      <c r="C369" s="11">
        <v>45150.877164351848</v>
      </c>
      <c r="D369" s="11">
        <v>45150.884375000001</v>
      </c>
      <c r="E369" t="s">
        <v>23</v>
      </c>
      <c r="F369">
        <v>13011</v>
      </c>
      <c r="G369" t="s">
        <v>16</v>
      </c>
      <c r="H369">
        <v>13045</v>
      </c>
      <c r="I369">
        <v>41.878943</v>
      </c>
      <c r="J369">
        <v>-87.639939999999996</v>
      </c>
      <c r="K369">
        <v>41.893844999999999</v>
      </c>
      <c r="L369">
        <v>-87.629233999999997</v>
      </c>
      <c r="M369" t="s">
        <v>17</v>
      </c>
      <c r="N369" s="12">
        <v>7.2106481481481475E-3</v>
      </c>
      <c r="O369">
        <v>7</v>
      </c>
      <c r="P369" t="s">
        <v>560</v>
      </c>
    </row>
    <row r="370" spans="1:16" x14ac:dyDescent="0.25">
      <c r="A370" t="s">
        <v>347</v>
      </c>
      <c r="B370" t="s">
        <v>14</v>
      </c>
      <c r="C370" s="11">
        <v>45150.877280092594</v>
      </c>
      <c r="D370" s="11">
        <v>45150.880462962959</v>
      </c>
      <c r="E370" t="s">
        <v>24</v>
      </c>
      <c r="F370">
        <v>13263</v>
      </c>
      <c r="G370" t="s">
        <v>57</v>
      </c>
      <c r="H370" t="s">
        <v>58</v>
      </c>
      <c r="I370">
        <v>41.885030999999998</v>
      </c>
      <c r="J370">
        <v>-87.619774000000007</v>
      </c>
      <c r="K370">
        <v>41.912609000000003</v>
      </c>
      <c r="L370">
        <v>-87.634810999999999</v>
      </c>
      <c r="M370" t="s">
        <v>17</v>
      </c>
      <c r="N370" s="12">
        <v>3.1828703703703702E-3</v>
      </c>
      <c r="O370">
        <v>7</v>
      </c>
      <c r="P370" t="s">
        <v>560</v>
      </c>
    </row>
    <row r="371" spans="1:16" x14ac:dyDescent="0.25">
      <c r="A371" t="s">
        <v>348</v>
      </c>
      <c r="B371" t="s">
        <v>14</v>
      </c>
      <c r="C371" s="11">
        <v>45151.075995370367</v>
      </c>
      <c r="D371" s="11">
        <v>45151.111597222225</v>
      </c>
      <c r="E371" t="s">
        <v>30</v>
      </c>
      <c r="F371">
        <v>13137</v>
      </c>
      <c r="G371" t="s">
        <v>23</v>
      </c>
      <c r="H371">
        <v>13011</v>
      </c>
      <c r="I371">
        <v>41.937091000000002</v>
      </c>
      <c r="J371">
        <v>-87.643778999999995</v>
      </c>
      <c r="K371">
        <v>41.878883000000002</v>
      </c>
      <c r="L371">
        <v>-87.640120999999994</v>
      </c>
      <c r="M371" t="s">
        <v>17</v>
      </c>
      <c r="N371" s="12">
        <v>3.560185185185185E-2</v>
      </c>
      <c r="O371">
        <v>1</v>
      </c>
      <c r="P371" t="s">
        <v>554</v>
      </c>
    </row>
    <row r="372" spans="1:16" x14ac:dyDescent="0.25">
      <c r="A372" t="s">
        <v>349</v>
      </c>
      <c r="B372" t="s">
        <v>37</v>
      </c>
      <c r="C372" s="11">
        <v>45151.889351851853</v>
      </c>
      <c r="D372" s="11">
        <v>45151.895972222221</v>
      </c>
      <c r="E372" t="s">
        <v>47</v>
      </c>
      <c r="F372" t="s">
        <v>48</v>
      </c>
      <c r="G372" t="s">
        <v>47</v>
      </c>
      <c r="H372" t="s">
        <v>48</v>
      </c>
      <c r="I372">
        <v>41.882139000000002</v>
      </c>
      <c r="J372">
        <v>-87.641433000000006</v>
      </c>
      <c r="K372">
        <v>41.882309999999997</v>
      </c>
      <c r="L372">
        <v>-87.640877000000003</v>
      </c>
      <c r="M372" t="s">
        <v>17</v>
      </c>
      <c r="N372" s="12">
        <v>6.6203703703703702E-3</v>
      </c>
      <c r="O372">
        <v>1</v>
      </c>
      <c r="P372" t="s">
        <v>554</v>
      </c>
    </row>
    <row r="373" spans="1:16" x14ac:dyDescent="0.25">
      <c r="A373" t="s">
        <v>350</v>
      </c>
      <c r="B373" t="s">
        <v>14</v>
      </c>
      <c r="C373" s="11">
        <v>45152.095092592594</v>
      </c>
      <c r="D373" s="11">
        <v>45152.105081018519</v>
      </c>
      <c r="E373" t="s">
        <v>47</v>
      </c>
      <c r="F373" t="s">
        <v>48</v>
      </c>
      <c r="G373" t="s">
        <v>47</v>
      </c>
      <c r="H373" t="s">
        <v>48</v>
      </c>
      <c r="I373">
        <v>41.882477000000002</v>
      </c>
      <c r="J373">
        <v>-87.640940000000001</v>
      </c>
      <c r="K373">
        <v>41.882323</v>
      </c>
      <c r="L373">
        <v>-87.640823999999995</v>
      </c>
      <c r="M373" t="s">
        <v>17</v>
      </c>
      <c r="N373" s="12">
        <v>9.9884259259259266E-3</v>
      </c>
      <c r="O373">
        <v>2</v>
      </c>
      <c r="P373" t="s">
        <v>555</v>
      </c>
    </row>
    <row r="374" spans="1:16" x14ac:dyDescent="0.25">
      <c r="A374" t="s">
        <v>351</v>
      </c>
      <c r="B374" t="s">
        <v>14</v>
      </c>
      <c r="C374" s="11">
        <v>45152.905844907407</v>
      </c>
      <c r="D374" s="11">
        <v>45152.909282407411</v>
      </c>
      <c r="E374" t="s">
        <v>66</v>
      </c>
      <c r="F374">
        <v>13042</v>
      </c>
      <c r="G374" t="s">
        <v>41</v>
      </c>
      <c r="H374" t="s">
        <v>42</v>
      </c>
      <c r="I374">
        <v>41.900517999999998</v>
      </c>
      <c r="J374">
        <v>-87.623307999999994</v>
      </c>
      <c r="K374">
        <v>41.903357</v>
      </c>
      <c r="L374">
        <v>-87.630852000000004</v>
      </c>
      <c r="M374" t="s">
        <v>17</v>
      </c>
      <c r="N374" s="12">
        <v>3.4375E-3</v>
      </c>
      <c r="O374">
        <v>2</v>
      </c>
      <c r="P374" t="s">
        <v>555</v>
      </c>
    </row>
    <row r="375" spans="1:16" x14ac:dyDescent="0.25">
      <c r="A375" t="s">
        <v>354</v>
      </c>
      <c r="B375" t="s">
        <v>37</v>
      </c>
      <c r="C375" s="11">
        <v>45154.261666666665</v>
      </c>
      <c r="D375" s="11">
        <v>45154.265243055554</v>
      </c>
      <c r="E375" t="s">
        <v>41</v>
      </c>
      <c r="F375" t="s">
        <v>42</v>
      </c>
      <c r="G375" t="s">
        <v>41</v>
      </c>
      <c r="H375" t="s">
        <v>42</v>
      </c>
      <c r="I375">
        <v>41.903160999999997</v>
      </c>
      <c r="J375">
        <v>-87.631538000000006</v>
      </c>
      <c r="K375">
        <v>41.903384000000003</v>
      </c>
      <c r="L375">
        <v>-87.630942000000005</v>
      </c>
      <c r="M375" t="s">
        <v>17</v>
      </c>
      <c r="N375" s="12">
        <v>3.5763888888888894E-3</v>
      </c>
      <c r="O375">
        <v>4</v>
      </c>
      <c r="P375" t="s">
        <v>557</v>
      </c>
    </row>
    <row r="376" spans="1:16" x14ac:dyDescent="0.25">
      <c r="A376" t="s">
        <v>355</v>
      </c>
      <c r="B376" t="s">
        <v>37</v>
      </c>
      <c r="C376" s="11">
        <v>45154.40996527778</v>
      </c>
      <c r="D376" s="11">
        <v>45154.419768518521</v>
      </c>
      <c r="E376" t="s">
        <v>30</v>
      </c>
      <c r="F376">
        <v>13137</v>
      </c>
      <c r="G376" t="s">
        <v>66</v>
      </c>
      <c r="H376">
        <v>13042</v>
      </c>
      <c r="I376">
        <v>41.937460999999999</v>
      </c>
      <c r="J376">
        <v>-87.644261</v>
      </c>
      <c r="K376">
        <v>41.901359999999997</v>
      </c>
      <c r="L376">
        <v>-87.623669000000007</v>
      </c>
      <c r="M376" t="s">
        <v>17</v>
      </c>
      <c r="N376" s="12">
        <v>9.8032407407407408E-3</v>
      </c>
      <c r="O376">
        <v>4</v>
      </c>
      <c r="P376" t="s">
        <v>557</v>
      </c>
    </row>
    <row r="377" spans="1:16" x14ac:dyDescent="0.25">
      <c r="A377" t="s">
        <v>356</v>
      </c>
      <c r="B377" t="s">
        <v>37</v>
      </c>
      <c r="C377" s="11">
        <v>45155.215960648151</v>
      </c>
      <c r="D377" s="11">
        <v>45155.257592592592</v>
      </c>
      <c r="E377" t="s">
        <v>23</v>
      </c>
      <c r="F377">
        <v>13011</v>
      </c>
      <c r="G377" t="s">
        <v>30</v>
      </c>
      <c r="H377">
        <v>13137</v>
      </c>
      <c r="I377">
        <v>41.879067999999997</v>
      </c>
      <c r="J377">
        <v>-87.639554000000004</v>
      </c>
      <c r="K377">
        <v>41.937170999999999</v>
      </c>
      <c r="L377">
        <v>-87.643606000000005</v>
      </c>
      <c r="M377" t="s">
        <v>17</v>
      </c>
      <c r="N377" s="12">
        <v>4.1631944444444451E-2</v>
      </c>
      <c r="O377">
        <v>5</v>
      </c>
      <c r="P377" t="s">
        <v>558</v>
      </c>
    </row>
    <row r="378" spans="1:16" x14ac:dyDescent="0.25">
      <c r="A378" t="s">
        <v>357</v>
      </c>
      <c r="B378" t="s">
        <v>26</v>
      </c>
      <c r="C378" s="11">
        <v>45157.647881944446</v>
      </c>
      <c r="D378" s="11">
        <v>45157.655949074076</v>
      </c>
      <c r="E378" t="s">
        <v>21</v>
      </c>
      <c r="F378">
        <v>21213</v>
      </c>
      <c r="G378" t="s">
        <v>66</v>
      </c>
      <c r="H378">
        <v>13042</v>
      </c>
      <c r="I378">
        <v>41.834755999999999</v>
      </c>
      <c r="J378">
        <v>-87.626187999999999</v>
      </c>
      <c r="K378">
        <v>41.901420999999999</v>
      </c>
      <c r="L378">
        <v>-87.623641000000006</v>
      </c>
      <c r="M378" t="s">
        <v>17</v>
      </c>
      <c r="N378" s="12">
        <v>8.0671296296296307E-3</v>
      </c>
      <c r="O378">
        <v>7</v>
      </c>
      <c r="P378" t="s">
        <v>560</v>
      </c>
    </row>
    <row r="379" spans="1:16" x14ac:dyDescent="0.25">
      <c r="A379" t="s">
        <v>359</v>
      </c>
      <c r="B379" t="s">
        <v>14</v>
      </c>
      <c r="C379" s="11">
        <v>45158.703356481485</v>
      </c>
      <c r="D379" s="11">
        <v>45158.711643518516</v>
      </c>
      <c r="E379" t="s">
        <v>47</v>
      </c>
      <c r="F379" t="s">
        <v>48</v>
      </c>
      <c r="G379" t="s">
        <v>57</v>
      </c>
      <c r="H379" t="s">
        <v>58</v>
      </c>
      <c r="I379">
        <v>41.882254000000003</v>
      </c>
      <c r="J379">
        <v>-87.641462000000004</v>
      </c>
      <c r="K379">
        <v>41.912018000000003</v>
      </c>
      <c r="L379">
        <v>-87.634668000000005</v>
      </c>
      <c r="M379" t="s">
        <v>17</v>
      </c>
      <c r="N379" s="12">
        <v>8.2870370370370372E-3</v>
      </c>
      <c r="O379">
        <v>1</v>
      </c>
      <c r="P379" t="s">
        <v>554</v>
      </c>
    </row>
    <row r="380" spans="1:16" x14ac:dyDescent="0.25">
      <c r="A380" t="s">
        <v>361</v>
      </c>
      <c r="B380" t="s">
        <v>26</v>
      </c>
      <c r="C380" s="11">
        <v>45160.656087962961</v>
      </c>
      <c r="D380" s="11">
        <v>45160.66715277778</v>
      </c>
      <c r="E380" t="s">
        <v>30</v>
      </c>
      <c r="F380">
        <v>13137</v>
      </c>
      <c r="G380" t="s">
        <v>41</v>
      </c>
      <c r="H380" t="s">
        <v>42</v>
      </c>
      <c r="I380">
        <v>41.937144000000004</v>
      </c>
      <c r="J380">
        <v>-87.644262999999995</v>
      </c>
      <c r="K380">
        <v>41.902540000000002</v>
      </c>
      <c r="L380">
        <v>-87.630804999999995</v>
      </c>
      <c r="M380" t="s">
        <v>17</v>
      </c>
      <c r="N380" s="12">
        <v>1.1064814814814814E-2</v>
      </c>
      <c r="O380">
        <v>3</v>
      </c>
      <c r="P380" t="s">
        <v>556</v>
      </c>
    </row>
    <row r="381" spans="1:16" x14ac:dyDescent="0.25">
      <c r="A381" t="s">
        <v>362</v>
      </c>
      <c r="B381" t="s">
        <v>37</v>
      </c>
      <c r="C381" s="11">
        <v>45161.720104166663</v>
      </c>
      <c r="D381" s="11">
        <v>45161.728090277778</v>
      </c>
      <c r="E381" t="s">
        <v>57</v>
      </c>
      <c r="F381" t="s">
        <v>58</v>
      </c>
      <c r="G381" t="s">
        <v>57</v>
      </c>
      <c r="H381" t="s">
        <v>58</v>
      </c>
      <c r="I381">
        <v>41.912452999999999</v>
      </c>
      <c r="J381">
        <v>-87.634927000000005</v>
      </c>
      <c r="K381">
        <v>41.912542000000002</v>
      </c>
      <c r="L381">
        <v>-87.635154999999997</v>
      </c>
      <c r="M381" t="s">
        <v>17</v>
      </c>
      <c r="N381" s="12">
        <v>7.9861111111111122E-3</v>
      </c>
      <c r="O381">
        <v>4</v>
      </c>
      <c r="P381" t="s">
        <v>557</v>
      </c>
    </row>
    <row r="382" spans="1:16" x14ac:dyDescent="0.25">
      <c r="A382" t="s">
        <v>363</v>
      </c>
      <c r="B382" t="s">
        <v>14</v>
      </c>
      <c r="C382" s="11">
        <v>45161.763564814813</v>
      </c>
      <c r="D382" s="11">
        <v>45161.767152777778</v>
      </c>
      <c r="E382" t="s">
        <v>47</v>
      </c>
      <c r="F382" t="s">
        <v>48</v>
      </c>
      <c r="G382" t="s">
        <v>27</v>
      </c>
      <c r="H382" t="s">
        <v>28</v>
      </c>
      <c r="I382">
        <v>41.881984000000003</v>
      </c>
      <c r="J382">
        <v>-87.640604999999994</v>
      </c>
      <c r="K382">
        <v>41.888874000000001</v>
      </c>
      <c r="L382">
        <v>-87.638054999999994</v>
      </c>
      <c r="M382" t="s">
        <v>17</v>
      </c>
      <c r="N382" s="12">
        <v>3.5879629629629629E-3</v>
      </c>
      <c r="O382">
        <v>4</v>
      </c>
      <c r="P382" t="s">
        <v>557</v>
      </c>
    </row>
    <row r="383" spans="1:16" x14ac:dyDescent="0.25">
      <c r="A383" t="s">
        <v>365</v>
      </c>
      <c r="B383" t="s">
        <v>14</v>
      </c>
      <c r="C383" s="11">
        <v>45163.583564814813</v>
      </c>
      <c r="D383" s="11">
        <v>45163.590462962966</v>
      </c>
      <c r="E383" t="s">
        <v>43</v>
      </c>
      <c r="F383" t="s">
        <v>44</v>
      </c>
      <c r="G383" t="s">
        <v>66</v>
      </c>
      <c r="H383">
        <v>13042</v>
      </c>
      <c r="I383">
        <v>41.903118999999997</v>
      </c>
      <c r="J383">
        <v>-87.634377000000001</v>
      </c>
      <c r="K383">
        <v>41.901060999999999</v>
      </c>
      <c r="L383">
        <v>-87.623761000000002</v>
      </c>
      <c r="M383" t="s">
        <v>17</v>
      </c>
      <c r="N383" s="12">
        <v>6.8981481481481489E-3</v>
      </c>
      <c r="O383">
        <v>6</v>
      </c>
      <c r="P383" t="s">
        <v>559</v>
      </c>
    </row>
    <row r="384" spans="1:16" x14ac:dyDescent="0.25">
      <c r="A384" t="s">
        <v>366</v>
      </c>
      <c r="B384" t="s">
        <v>14</v>
      </c>
      <c r="C384" s="11">
        <v>45163.93712962963</v>
      </c>
      <c r="D384" s="11">
        <v>45163.942662037036</v>
      </c>
      <c r="E384" t="s">
        <v>33</v>
      </c>
      <c r="F384" t="s">
        <v>34</v>
      </c>
      <c r="G384" t="s">
        <v>23</v>
      </c>
      <c r="H384">
        <v>13011</v>
      </c>
      <c r="I384">
        <v>41.887093</v>
      </c>
      <c r="J384">
        <v>-87.612449999999995</v>
      </c>
      <c r="K384">
        <v>41.878977999999996</v>
      </c>
      <c r="L384">
        <v>-87.639531000000005</v>
      </c>
      <c r="M384" t="s">
        <v>17</v>
      </c>
      <c r="N384" s="12">
        <v>5.5324074074074069E-3</v>
      </c>
      <c r="O384">
        <v>6</v>
      </c>
      <c r="P384" t="s">
        <v>559</v>
      </c>
    </row>
    <row r="385" spans="1:16" x14ac:dyDescent="0.25">
      <c r="A385" t="s">
        <v>367</v>
      </c>
      <c r="B385" t="s">
        <v>37</v>
      </c>
      <c r="C385" s="11">
        <v>45165.290775462963</v>
      </c>
      <c r="D385" s="11">
        <v>45165.295891203707</v>
      </c>
      <c r="E385" t="s">
        <v>35</v>
      </c>
      <c r="F385">
        <v>13022</v>
      </c>
      <c r="G385" t="s">
        <v>27</v>
      </c>
      <c r="H385" t="s">
        <v>28</v>
      </c>
      <c r="I385">
        <v>41.892083999999997</v>
      </c>
      <c r="J385">
        <v>-87.611721000000003</v>
      </c>
      <c r="K385">
        <v>41.888733999999999</v>
      </c>
      <c r="L385">
        <v>-87.638587000000001</v>
      </c>
      <c r="M385" t="s">
        <v>17</v>
      </c>
      <c r="N385" s="12">
        <v>5.115740740740741E-3</v>
      </c>
      <c r="O385">
        <v>1</v>
      </c>
      <c r="P385" t="s">
        <v>554</v>
      </c>
    </row>
    <row r="386" spans="1:16" x14ac:dyDescent="0.25">
      <c r="A386" t="s">
        <v>369</v>
      </c>
      <c r="B386" t="s">
        <v>37</v>
      </c>
      <c r="C386" s="11">
        <v>45165.425439814811</v>
      </c>
      <c r="D386" s="11">
        <v>45165.442719907405</v>
      </c>
      <c r="E386" t="s">
        <v>41</v>
      </c>
      <c r="F386" t="s">
        <v>42</v>
      </c>
      <c r="G386" t="s">
        <v>66</v>
      </c>
      <c r="H386">
        <v>13042</v>
      </c>
      <c r="I386">
        <v>41.902766</v>
      </c>
      <c r="J386">
        <v>-87.631235000000004</v>
      </c>
      <c r="K386">
        <v>41.900593000000001</v>
      </c>
      <c r="L386">
        <v>-87.623585000000006</v>
      </c>
      <c r="M386" t="s">
        <v>17</v>
      </c>
      <c r="N386" s="12">
        <v>1.7280092592592593E-2</v>
      </c>
      <c r="O386">
        <v>1</v>
      </c>
      <c r="P386" t="s">
        <v>554</v>
      </c>
    </row>
    <row r="387" spans="1:16" x14ac:dyDescent="0.25">
      <c r="A387" t="s">
        <v>371</v>
      </c>
      <c r="B387" t="s">
        <v>14</v>
      </c>
      <c r="C387" s="11">
        <v>45169.357268518521</v>
      </c>
      <c r="D387" s="11">
        <v>45169.364374999997</v>
      </c>
      <c r="E387" t="s">
        <v>35</v>
      </c>
      <c r="F387">
        <v>13022</v>
      </c>
      <c r="G387" t="s">
        <v>35</v>
      </c>
      <c r="H387">
        <v>13022</v>
      </c>
      <c r="I387">
        <v>41.892645999999999</v>
      </c>
      <c r="J387">
        <v>-87.611816000000005</v>
      </c>
      <c r="K387">
        <v>41.892521000000002</v>
      </c>
      <c r="L387">
        <v>-87.612117999999995</v>
      </c>
      <c r="M387" t="s">
        <v>17</v>
      </c>
      <c r="N387" s="12">
        <v>7.106481481481481E-3</v>
      </c>
      <c r="O387">
        <v>5</v>
      </c>
      <c r="P387" t="s">
        <v>558</v>
      </c>
    </row>
    <row r="388" spans="1:16" x14ac:dyDescent="0.25">
      <c r="A388" t="s">
        <v>372</v>
      </c>
      <c r="B388" t="s">
        <v>14</v>
      </c>
      <c r="C388" s="11">
        <v>45171.713020833333</v>
      </c>
      <c r="D388" s="11">
        <v>45171.717928240738</v>
      </c>
      <c r="E388" t="s">
        <v>47</v>
      </c>
      <c r="F388" t="s">
        <v>48</v>
      </c>
      <c r="G388" t="s">
        <v>15</v>
      </c>
      <c r="H388">
        <v>13008</v>
      </c>
      <c r="I388">
        <v>41.882545</v>
      </c>
      <c r="J388">
        <v>-87.641108000000003</v>
      </c>
      <c r="K388">
        <v>41.881014999999998</v>
      </c>
      <c r="L388">
        <v>-87.624450999999993</v>
      </c>
      <c r="M388" t="s">
        <v>17</v>
      </c>
      <c r="N388" s="12">
        <v>4.9074074074074072E-3</v>
      </c>
      <c r="O388">
        <v>7</v>
      </c>
      <c r="P388" t="s">
        <v>560</v>
      </c>
    </row>
    <row r="389" spans="1:16" x14ac:dyDescent="0.25">
      <c r="A389" t="s">
        <v>374</v>
      </c>
      <c r="B389" t="s">
        <v>37</v>
      </c>
      <c r="C389" s="11">
        <v>45172.427349537036</v>
      </c>
      <c r="D389" s="11">
        <v>45172.45894675926</v>
      </c>
      <c r="E389" t="s">
        <v>43</v>
      </c>
      <c r="F389" t="s">
        <v>44</v>
      </c>
      <c r="G389" t="s">
        <v>33</v>
      </c>
      <c r="H389" t="s">
        <v>34</v>
      </c>
      <c r="I389">
        <v>41.903607999999998</v>
      </c>
      <c r="J389">
        <v>-87.633889999999994</v>
      </c>
      <c r="K389">
        <v>41.887391999999998</v>
      </c>
      <c r="L389">
        <v>-87.612678000000002</v>
      </c>
      <c r="M389" t="s">
        <v>17</v>
      </c>
      <c r="N389" s="12">
        <v>3.1597222222222221E-2</v>
      </c>
      <c r="O389">
        <v>1</v>
      </c>
      <c r="P389" t="s">
        <v>554</v>
      </c>
    </row>
    <row r="390" spans="1:16" x14ac:dyDescent="0.25">
      <c r="A390" t="s">
        <v>375</v>
      </c>
      <c r="B390" t="s">
        <v>14</v>
      </c>
      <c r="C390" s="11">
        <v>45172.710509259261</v>
      </c>
      <c r="D390" s="11">
        <v>45172.727002314816</v>
      </c>
      <c r="E390" t="s">
        <v>57</v>
      </c>
      <c r="F390" t="s">
        <v>58</v>
      </c>
      <c r="G390" t="s">
        <v>27</v>
      </c>
      <c r="H390" t="s">
        <v>28</v>
      </c>
      <c r="I390">
        <v>41.912118</v>
      </c>
      <c r="J390">
        <v>-87.635034000000005</v>
      </c>
      <c r="K390">
        <v>41.889401999999997</v>
      </c>
      <c r="L390">
        <v>-87.638683</v>
      </c>
      <c r="M390" t="s">
        <v>17</v>
      </c>
      <c r="N390" s="12">
        <v>1.6493055555555556E-2</v>
      </c>
      <c r="O390">
        <v>1</v>
      </c>
      <c r="P390" t="s">
        <v>554</v>
      </c>
    </row>
    <row r="391" spans="1:16" x14ac:dyDescent="0.25">
      <c r="A391" t="s">
        <v>376</v>
      </c>
      <c r="B391" t="s">
        <v>26</v>
      </c>
      <c r="C391" s="11">
        <v>45173.693888888891</v>
      </c>
      <c r="D391" s="11">
        <v>45173.71297453704</v>
      </c>
      <c r="E391" t="s">
        <v>15</v>
      </c>
      <c r="F391">
        <v>13008</v>
      </c>
      <c r="G391" t="s">
        <v>35</v>
      </c>
      <c r="H391">
        <v>13022</v>
      </c>
      <c r="I391">
        <v>41.880989999999997</v>
      </c>
      <c r="J391">
        <v>-87.623802999999995</v>
      </c>
      <c r="K391">
        <v>41.892738000000001</v>
      </c>
      <c r="L391">
        <v>-87.611778999999999</v>
      </c>
      <c r="M391" t="s">
        <v>17</v>
      </c>
      <c r="N391" s="12">
        <v>1.9085648148148147E-2</v>
      </c>
      <c r="O391">
        <v>2</v>
      </c>
      <c r="P391" t="s">
        <v>555</v>
      </c>
    </row>
    <row r="392" spans="1:16" x14ac:dyDescent="0.25">
      <c r="A392" t="s">
        <v>377</v>
      </c>
      <c r="B392" t="s">
        <v>14</v>
      </c>
      <c r="C392" s="11">
        <v>45173.701678240737</v>
      </c>
      <c r="D392" s="11">
        <v>45173.72556712963</v>
      </c>
      <c r="E392" t="s">
        <v>16</v>
      </c>
      <c r="F392">
        <v>13045</v>
      </c>
      <c r="G392" t="s">
        <v>23</v>
      </c>
      <c r="H392">
        <v>13011</v>
      </c>
      <c r="I392">
        <v>41.894115999999997</v>
      </c>
      <c r="J392">
        <v>-87.628989000000004</v>
      </c>
      <c r="K392">
        <v>41.878945000000002</v>
      </c>
      <c r="L392">
        <v>-87.639487000000003</v>
      </c>
      <c r="M392" t="s">
        <v>17</v>
      </c>
      <c r="N392" s="12">
        <v>2.388888888888889E-2</v>
      </c>
      <c r="O392">
        <v>2</v>
      </c>
      <c r="P392" t="s">
        <v>555</v>
      </c>
    </row>
    <row r="393" spans="1:16" x14ac:dyDescent="0.25">
      <c r="A393" t="s">
        <v>378</v>
      </c>
      <c r="B393" t="s">
        <v>37</v>
      </c>
      <c r="C393" s="11">
        <v>45174.413148148145</v>
      </c>
      <c r="D393" s="11">
        <v>45174.419618055559</v>
      </c>
      <c r="E393" t="s">
        <v>43</v>
      </c>
      <c r="F393" t="s">
        <v>44</v>
      </c>
      <c r="G393" t="s">
        <v>30</v>
      </c>
      <c r="H393">
        <v>13137</v>
      </c>
      <c r="I393">
        <v>41.902915</v>
      </c>
      <c r="J393">
        <v>-87.633872999999994</v>
      </c>
      <c r="K393">
        <v>41.937491000000001</v>
      </c>
      <c r="L393">
        <v>-87.644131000000002</v>
      </c>
      <c r="M393" t="s">
        <v>17</v>
      </c>
      <c r="N393" s="12">
        <v>6.4699074074074069E-3</v>
      </c>
      <c r="O393">
        <v>3</v>
      </c>
      <c r="P393" t="s">
        <v>556</v>
      </c>
    </row>
    <row r="394" spans="1:16" x14ac:dyDescent="0.25">
      <c r="A394" t="s">
        <v>379</v>
      </c>
      <c r="B394" t="s">
        <v>37</v>
      </c>
      <c r="C394" s="11">
        <v>45174.769004629627</v>
      </c>
      <c r="D394" s="11">
        <v>45174.794351851851</v>
      </c>
      <c r="E394" t="s">
        <v>24</v>
      </c>
      <c r="F394">
        <v>13263</v>
      </c>
      <c r="G394" t="s">
        <v>43</v>
      </c>
      <c r="H394" t="s">
        <v>44</v>
      </c>
      <c r="I394">
        <v>41.884228</v>
      </c>
      <c r="J394">
        <v>-87.619603999999995</v>
      </c>
      <c r="K394">
        <v>41.903244999999998</v>
      </c>
      <c r="L394">
        <v>-87.634769000000006</v>
      </c>
      <c r="M394" t="s">
        <v>17</v>
      </c>
      <c r="N394" s="12">
        <v>2.5347222222222219E-2</v>
      </c>
      <c r="O394">
        <v>3</v>
      </c>
      <c r="P394" t="s">
        <v>556</v>
      </c>
    </row>
    <row r="395" spans="1:16" x14ac:dyDescent="0.25">
      <c r="A395" t="s">
        <v>380</v>
      </c>
      <c r="B395" t="s">
        <v>37</v>
      </c>
      <c r="C395" s="11">
        <v>45175.753321759257</v>
      </c>
      <c r="D395" s="11">
        <v>45175.763379629629</v>
      </c>
      <c r="E395" t="s">
        <v>16</v>
      </c>
      <c r="F395">
        <v>13045</v>
      </c>
      <c r="G395" t="s">
        <v>19</v>
      </c>
      <c r="H395" t="s">
        <v>20</v>
      </c>
      <c r="I395">
        <v>41.893678999999999</v>
      </c>
      <c r="J395">
        <v>-87.629630000000006</v>
      </c>
      <c r="K395">
        <v>41.925961000000001</v>
      </c>
      <c r="L395">
        <v>-87.631276999999997</v>
      </c>
      <c r="M395" t="s">
        <v>17</v>
      </c>
      <c r="N395" s="12">
        <v>1.005787037037037E-2</v>
      </c>
      <c r="O395">
        <v>4</v>
      </c>
      <c r="P395" t="s">
        <v>557</v>
      </c>
    </row>
    <row r="396" spans="1:16" x14ac:dyDescent="0.25">
      <c r="A396" t="s">
        <v>381</v>
      </c>
      <c r="B396" t="s">
        <v>14</v>
      </c>
      <c r="C396" s="11">
        <v>45176.171006944445</v>
      </c>
      <c r="D396" s="11">
        <v>45176.175092592595</v>
      </c>
      <c r="E396" t="s">
        <v>30</v>
      </c>
      <c r="F396">
        <v>13137</v>
      </c>
      <c r="G396" t="s">
        <v>30</v>
      </c>
      <c r="H396">
        <v>13137</v>
      </c>
      <c r="I396">
        <v>41.937778999999999</v>
      </c>
      <c r="J396">
        <v>-87.644186000000005</v>
      </c>
      <c r="K396">
        <v>41.937956</v>
      </c>
      <c r="L396">
        <v>-87.644082999999995</v>
      </c>
      <c r="M396" t="s">
        <v>17</v>
      </c>
      <c r="N396" s="12">
        <v>4.0856481481481481E-3</v>
      </c>
      <c r="O396">
        <v>5</v>
      </c>
      <c r="P396" t="s">
        <v>558</v>
      </c>
    </row>
    <row r="397" spans="1:16" x14ac:dyDescent="0.25">
      <c r="A397" t="s">
        <v>382</v>
      </c>
      <c r="B397" t="s">
        <v>37</v>
      </c>
      <c r="C397" s="11">
        <v>45177.220960648148</v>
      </c>
      <c r="D397" s="11">
        <v>45177.243680555555</v>
      </c>
      <c r="E397" t="s">
        <v>23</v>
      </c>
      <c r="F397">
        <v>13011</v>
      </c>
      <c r="G397" t="s">
        <v>41</v>
      </c>
      <c r="H397" t="s">
        <v>42</v>
      </c>
      <c r="I397">
        <v>41.879358000000003</v>
      </c>
      <c r="J397">
        <v>-87.640324000000007</v>
      </c>
      <c r="K397">
        <v>41.903156000000003</v>
      </c>
      <c r="L397">
        <v>-87.630847000000003</v>
      </c>
      <c r="M397" t="s">
        <v>17</v>
      </c>
      <c r="N397" s="12">
        <v>2.2719907407407411E-2</v>
      </c>
      <c r="O397">
        <v>6</v>
      </c>
      <c r="P397" t="s">
        <v>559</v>
      </c>
    </row>
    <row r="398" spans="1:16" x14ac:dyDescent="0.25">
      <c r="A398" t="s">
        <v>383</v>
      </c>
      <c r="B398" t="s">
        <v>14</v>
      </c>
      <c r="C398" s="11">
        <v>45178.259201388886</v>
      </c>
      <c r="D398" s="11">
        <v>45178.265023148146</v>
      </c>
      <c r="E398" t="s">
        <v>33</v>
      </c>
      <c r="F398" t="s">
        <v>34</v>
      </c>
      <c r="G398" t="s">
        <v>33</v>
      </c>
      <c r="H398" t="s">
        <v>34</v>
      </c>
      <c r="I398">
        <v>41.886961999999997</v>
      </c>
      <c r="J398">
        <v>-87.612399999999994</v>
      </c>
      <c r="K398">
        <v>41.887085999999996</v>
      </c>
      <c r="L398">
        <v>-87.612767000000005</v>
      </c>
      <c r="M398" t="s">
        <v>17</v>
      </c>
      <c r="N398" s="12">
        <v>5.8217592592592592E-3</v>
      </c>
      <c r="O398">
        <v>7</v>
      </c>
      <c r="P398" t="s">
        <v>560</v>
      </c>
    </row>
    <row r="399" spans="1:16" x14ac:dyDescent="0.25">
      <c r="A399" t="s">
        <v>384</v>
      </c>
      <c r="B399" t="s">
        <v>37</v>
      </c>
      <c r="C399" s="11">
        <v>45178.432928240742</v>
      </c>
      <c r="D399" s="11">
        <v>45178.469629629632</v>
      </c>
      <c r="E399" t="s">
        <v>23</v>
      </c>
      <c r="F399">
        <v>13011</v>
      </c>
      <c r="G399" t="s">
        <v>35</v>
      </c>
      <c r="H399">
        <v>13022</v>
      </c>
      <c r="I399">
        <v>41.878847999999998</v>
      </c>
      <c r="J399">
        <v>-87.639506999999995</v>
      </c>
      <c r="K399">
        <v>41.892677999999997</v>
      </c>
      <c r="L399">
        <v>-87.611909999999995</v>
      </c>
      <c r="M399" t="s">
        <v>17</v>
      </c>
      <c r="N399" s="12">
        <v>3.6701388888888888E-2</v>
      </c>
      <c r="O399">
        <v>7</v>
      </c>
      <c r="P399" t="s">
        <v>560</v>
      </c>
    </row>
    <row r="400" spans="1:16" x14ac:dyDescent="0.25">
      <c r="A400" t="s">
        <v>386</v>
      </c>
      <c r="B400" t="s">
        <v>14</v>
      </c>
      <c r="C400" s="11">
        <v>45179.487361111111</v>
      </c>
      <c r="D400" s="11">
        <v>45179.490312499998</v>
      </c>
      <c r="E400" t="s">
        <v>66</v>
      </c>
      <c r="F400">
        <v>13042</v>
      </c>
      <c r="G400" t="s">
        <v>30</v>
      </c>
      <c r="H400">
        <v>13137</v>
      </c>
      <c r="I400">
        <v>41.900542000000002</v>
      </c>
      <c r="J400">
        <v>-87.623979000000006</v>
      </c>
      <c r="K400">
        <v>41.937753999999998</v>
      </c>
      <c r="L400">
        <v>-87.644268999999994</v>
      </c>
      <c r="M400" t="s">
        <v>17</v>
      </c>
      <c r="N400" s="12">
        <v>2.9513888888888888E-3</v>
      </c>
      <c r="O400">
        <v>1</v>
      </c>
      <c r="P400" t="s">
        <v>554</v>
      </c>
    </row>
    <row r="401" spans="1:16" x14ac:dyDescent="0.25">
      <c r="A401" t="s">
        <v>387</v>
      </c>
      <c r="B401" t="s">
        <v>14</v>
      </c>
      <c r="C401" s="11">
        <v>45180.264236111114</v>
      </c>
      <c r="D401" s="11">
        <v>45180.268391203703</v>
      </c>
      <c r="E401" t="s">
        <v>30</v>
      </c>
      <c r="F401">
        <v>13137</v>
      </c>
      <c r="G401" t="s">
        <v>30</v>
      </c>
      <c r="H401">
        <v>13137</v>
      </c>
      <c r="I401">
        <v>41.937694</v>
      </c>
      <c r="J401">
        <v>-87.644291999999993</v>
      </c>
      <c r="K401">
        <v>41.937407999999998</v>
      </c>
      <c r="L401">
        <v>-87.644526999999997</v>
      </c>
      <c r="M401" t="s">
        <v>17</v>
      </c>
      <c r="N401" s="12">
        <v>4.155092592592593E-3</v>
      </c>
      <c r="O401">
        <v>2</v>
      </c>
      <c r="P401" t="s">
        <v>555</v>
      </c>
    </row>
    <row r="402" spans="1:16" x14ac:dyDescent="0.25">
      <c r="A402" t="s">
        <v>388</v>
      </c>
      <c r="B402" t="s">
        <v>14</v>
      </c>
      <c r="C402" s="11">
        <v>45181.561030092591</v>
      </c>
      <c r="D402" s="11">
        <v>45181.567002314812</v>
      </c>
      <c r="E402" t="s">
        <v>66</v>
      </c>
      <c r="F402">
        <v>13042</v>
      </c>
      <c r="G402" t="s">
        <v>23</v>
      </c>
      <c r="H402">
        <v>13011</v>
      </c>
      <c r="I402">
        <v>41.900697999999998</v>
      </c>
      <c r="J402">
        <v>-87.624178000000001</v>
      </c>
      <c r="K402">
        <v>41.878998000000003</v>
      </c>
      <c r="L402">
        <v>-87.639681999999993</v>
      </c>
      <c r="M402" t="s">
        <v>17</v>
      </c>
      <c r="N402" s="12">
        <v>5.9722222222222225E-3</v>
      </c>
      <c r="O402">
        <v>3</v>
      </c>
      <c r="P402" t="s">
        <v>556</v>
      </c>
    </row>
    <row r="403" spans="1:16" x14ac:dyDescent="0.25">
      <c r="A403" t="s">
        <v>389</v>
      </c>
      <c r="B403" t="s">
        <v>37</v>
      </c>
      <c r="C403" s="11">
        <v>45181.773263888892</v>
      </c>
      <c r="D403" s="11">
        <v>45181.779166666667</v>
      </c>
      <c r="E403" t="s">
        <v>47</v>
      </c>
      <c r="F403" t="s">
        <v>48</v>
      </c>
      <c r="G403" t="s">
        <v>47</v>
      </c>
      <c r="H403" t="s">
        <v>48</v>
      </c>
      <c r="I403">
        <v>41.881920999999998</v>
      </c>
      <c r="J403">
        <v>-87.641073000000006</v>
      </c>
      <c r="K403">
        <v>41.881824000000002</v>
      </c>
      <c r="L403">
        <v>-87.641369999999995</v>
      </c>
      <c r="M403" t="s">
        <v>17</v>
      </c>
      <c r="N403" s="12">
        <v>5.9027777777777776E-3</v>
      </c>
      <c r="O403">
        <v>3</v>
      </c>
      <c r="P403" t="s">
        <v>556</v>
      </c>
    </row>
    <row r="404" spans="1:16" x14ac:dyDescent="0.25">
      <c r="A404" t="s">
        <v>390</v>
      </c>
      <c r="B404" t="s">
        <v>14</v>
      </c>
      <c r="C404" s="11">
        <v>45182.264317129629</v>
      </c>
      <c r="D404" s="11">
        <v>45182.276400462964</v>
      </c>
      <c r="E404" t="s">
        <v>33</v>
      </c>
      <c r="F404" t="s">
        <v>34</v>
      </c>
      <c r="G404" t="s">
        <v>16</v>
      </c>
      <c r="H404">
        <v>13045</v>
      </c>
      <c r="I404">
        <v>41.886960999999999</v>
      </c>
      <c r="J404">
        <v>-87.613163999999998</v>
      </c>
      <c r="K404">
        <v>41.89414</v>
      </c>
      <c r="L404">
        <v>-87.629645999999994</v>
      </c>
      <c r="M404" t="s">
        <v>17</v>
      </c>
      <c r="N404" s="12">
        <v>1.2083333333333333E-2</v>
      </c>
      <c r="O404">
        <v>4</v>
      </c>
      <c r="P404" t="s">
        <v>557</v>
      </c>
    </row>
    <row r="405" spans="1:16" x14ac:dyDescent="0.25">
      <c r="A405" t="s">
        <v>393</v>
      </c>
      <c r="B405" t="s">
        <v>14</v>
      </c>
      <c r="C405" s="11">
        <v>45186.102141203701</v>
      </c>
      <c r="D405" s="11">
        <v>45186.105624999997</v>
      </c>
      <c r="E405" t="s">
        <v>47</v>
      </c>
      <c r="F405" t="s">
        <v>48</v>
      </c>
      <c r="G405" t="s">
        <v>47</v>
      </c>
      <c r="H405" t="s">
        <v>48</v>
      </c>
      <c r="I405">
        <v>41.882275999999997</v>
      </c>
      <c r="J405">
        <v>-87.641424000000001</v>
      </c>
      <c r="K405">
        <v>41.881754000000001</v>
      </c>
      <c r="L405">
        <v>-87.641143999999997</v>
      </c>
      <c r="M405" t="s">
        <v>17</v>
      </c>
      <c r="N405" s="12">
        <v>3.483796296296296E-3</v>
      </c>
      <c r="O405">
        <v>1</v>
      </c>
      <c r="P405" t="s">
        <v>554</v>
      </c>
    </row>
    <row r="406" spans="1:16" x14ac:dyDescent="0.25">
      <c r="A406" t="s">
        <v>394</v>
      </c>
      <c r="B406" t="s">
        <v>14</v>
      </c>
      <c r="C406" s="11">
        <v>45186.920219907406</v>
      </c>
      <c r="D406" s="11">
        <v>45186.927743055552</v>
      </c>
      <c r="E406" t="s">
        <v>66</v>
      </c>
      <c r="F406">
        <v>13042</v>
      </c>
      <c r="G406" t="s">
        <v>66</v>
      </c>
      <c r="H406">
        <v>13042</v>
      </c>
      <c r="I406">
        <v>41.900601999999999</v>
      </c>
      <c r="J406">
        <v>-87.624223999999998</v>
      </c>
      <c r="K406">
        <v>41.901085999999999</v>
      </c>
      <c r="L406">
        <v>-87.624222000000003</v>
      </c>
      <c r="M406" t="s">
        <v>17</v>
      </c>
      <c r="N406" s="12">
        <v>7.5231481481481477E-3</v>
      </c>
      <c r="O406">
        <v>1</v>
      </c>
      <c r="P406" t="s">
        <v>554</v>
      </c>
    </row>
    <row r="407" spans="1:16" x14ac:dyDescent="0.25">
      <c r="A407" t="s">
        <v>395</v>
      </c>
      <c r="B407" t="s">
        <v>37</v>
      </c>
      <c r="C407" s="11">
        <v>45188.482847222222</v>
      </c>
      <c r="D407" s="11">
        <v>45188.502604166664</v>
      </c>
      <c r="E407" t="s">
        <v>35</v>
      </c>
      <c r="F407">
        <v>13022</v>
      </c>
      <c r="G407" t="s">
        <v>35</v>
      </c>
      <c r="H407">
        <v>13022</v>
      </c>
      <c r="I407">
        <v>41.891938000000003</v>
      </c>
      <c r="J407">
        <v>-87.612209000000007</v>
      </c>
      <c r="K407">
        <v>41.892017000000003</v>
      </c>
      <c r="L407">
        <v>-87.611613000000006</v>
      </c>
      <c r="M407" t="s">
        <v>17</v>
      </c>
      <c r="N407" s="12">
        <v>1.9756944444444445E-2</v>
      </c>
      <c r="O407">
        <v>3</v>
      </c>
      <c r="P407" t="s">
        <v>556</v>
      </c>
    </row>
    <row r="408" spans="1:16" x14ac:dyDescent="0.25">
      <c r="A408" t="s">
        <v>398</v>
      </c>
      <c r="B408" t="s">
        <v>37</v>
      </c>
      <c r="C408" s="11">
        <v>45190.688715277778</v>
      </c>
      <c r="D408" s="11">
        <v>45190.704814814817</v>
      </c>
      <c r="E408" t="s">
        <v>66</v>
      </c>
      <c r="F408">
        <v>13042</v>
      </c>
      <c r="G408" t="s">
        <v>23</v>
      </c>
      <c r="H408">
        <v>13011</v>
      </c>
      <c r="I408">
        <v>41.901038999999997</v>
      </c>
      <c r="J408">
        <v>-87.623839000000004</v>
      </c>
      <c r="K408">
        <v>41.879427</v>
      </c>
      <c r="L408">
        <v>-87.640075999999993</v>
      </c>
      <c r="M408" t="s">
        <v>17</v>
      </c>
      <c r="N408" s="12">
        <v>1.6099537037037037E-2</v>
      </c>
      <c r="O408">
        <v>5</v>
      </c>
      <c r="P408" t="s">
        <v>558</v>
      </c>
    </row>
    <row r="409" spans="1:16" x14ac:dyDescent="0.25">
      <c r="A409" t="s">
        <v>399</v>
      </c>
      <c r="B409" t="s">
        <v>14</v>
      </c>
      <c r="C409" s="11">
        <v>45191.555231481485</v>
      </c>
      <c r="D409" s="11">
        <v>45191.563148148147</v>
      </c>
      <c r="E409" t="s">
        <v>24</v>
      </c>
      <c r="F409">
        <v>13263</v>
      </c>
      <c r="G409" t="s">
        <v>66</v>
      </c>
      <c r="H409">
        <v>13042</v>
      </c>
      <c r="I409">
        <v>41.884453999999998</v>
      </c>
      <c r="J409">
        <v>-87.619291000000004</v>
      </c>
      <c r="K409">
        <v>41.901058999999997</v>
      </c>
      <c r="L409">
        <v>-87.624212999999997</v>
      </c>
      <c r="M409" t="s">
        <v>17</v>
      </c>
      <c r="N409" s="12">
        <v>7.9166666666666673E-3</v>
      </c>
      <c r="O409">
        <v>6</v>
      </c>
      <c r="P409" t="s">
        <v>559</v>
      </c>
    </row>
    <row r="410" spans="1:16" x14ac:dyDescent="0.25">
      <c r="A410" t="s">
        <v>400</v>
      </c>
      <c r="B410" t="s">
        <v>37</v>
      </c>
      <c r="C410" s="11">
        <v>45192.215578703705</v>
      </c>
      <c r="D410" s="11">
        <v>45192.244050925925</v>
      </c>
      <c r="E410" t="s">
        <v>43</v>
      </c>
      <c r="F410" t="s">
        <v>44</v>
      </c>
      <c r="G410" t="s">
        <v>35</v>
      </c>
      <c r="H410">
        <v>13022</v>
      </c>
      <c r="I410">
        <v>41.903357</v>
      </c>
      <c r="J410">
        <v>-87.634732999999997</v>
      </c>
      <c r="K410">
        <v>41.891810999999997</v>
      </c>
      <c r="L410">
        <v>-87.612485000000007</v>
      </c>
      <c r="M410" t="s">
        <v>17</v>
      </c>
      <c r="N410" s="12">
        <v>2.8472222222222222E-2</v>
      </c>
      <c r="O410">
        <v>7</v>
      </c>
      <c r="P410" t="s">
        <v>560</v>
      </c>
    </row>
    <row r="411" spans="1:16" x14ac:dyDescent="0.25">
      <c r="A411" t="s">
        <v>401</v>
      </c>
      <c r="B411" t="s">
        <v>26</v>
      </c>
      <c r="C411" s="11">
        <v>45193.795613425929</v>
      </c>
      <c r="D411" s="11">
        <v>45193.812708333331</v>
      </c>
      <c r="E411" t="s">
        <v>33</v>
      </c>
      <c r="F411" t="s">
        <v>34</v>
      </c>
      <c r="G411" t="s">
        <v>19</v>
      </c>
      <c r="H411" t="s">
        <v>20</v>
      </c>
      <c r="I411">
        <v>41.886727999999998</v>
      </c>
      <c r="J411">
        <v>-87.613005000000001</v>
      </c>
      <c r="K411">
        <v>41.926391000000002</v>
      </c>
      <c r="L411">
        <v>-87.630436000000003</v>
      </c>
      <c r="M411" t="s">
        <v>17</v>
      </c>
      <c r="N411" s="12">
        <v>1.7094907407407409E-2</v>
      </c>
      <c r="O411">
        <v>1</v>
      </c>
      <c r="P411" t="s">
        <v>554</v>
      </c>
    </row>
    <row r="412" spans="1:16" x14ac:dyDescent="0.25">
      <c r="A412" t="s">
        <v>402</v>
      </c>
      <c r="B412" t="s">
        <v>14</v>
      </c>
      <c r="C412" s="11">
        <v>45196.304872685185</v>
      </c>
      <c r="D412" s="11">
        <v>45196.30878472222</v>
      </c>
      <c r="E412" t="s">
        <v>30</v>
      </c>
      <c r="F412">
        <v>13137</v>
      </c>
      <c r="G412" t="s">
        <v>19</v>
      </c>
      <c r="H412" t="s">
        <v>20</v>
      </c>
      <c r="I412">
        <v>41.937842000000003</v>
      </c>
      <c r="J412">
        <v>-87.643876000000006</v>
      </c>
      <c r="K412">
        <v>41.925784</v>
      </c>
      <c r="L412">
        <v>-87.630825000000002</v>
      </c>
      <c r="M412" t="s">
        <v>17</v>
      </c>
      <c r="N412" s="12">
        <v>3.9120370370370368E-3</v>
      </c>
      <c r="O412">
        <v>4</v>
      </c>
      <c r="P412" t="s">
        <v>557</v>
      </c>
    </row>
    <row r="413" spans="1:16" x14ac:dyDescent="0.25">
      <c r="A413" t="s">
        <v>404</v>
      </c>
      <c r="B413" t="s">
        <v>14</v>
      </c>
      <c r="C413" s="11">
        <v>45197.418229166666</v>
      </c>
      <c r="D413" s="11">
        <v>45197.421423611115</v>
      </c>
      <c r="E413" t="s">
        <v>66</v>
      </c>
      <c r="F413">
        <v>13042</v>
      </c>
      <c r="G413" t="s">
        <v>27</v>
      </c>
      <c r="H413" t="s">
        <v>28</v>
      </c>
      <c r="I413">
        <v>41.901432999999997</v>
      </c>
      <c r="J413">
        <v>-87.623294000000001</v>
      </c>
      <c r="K413">
        <v>41.889170999999997</v>
      </c>
      <c r="L413">
        <v>-87.638137</v>
      </c>
      <c r="M413" t="s">
        <v>17</v>
      </c>
      <c r="N413" s="12">
        <v>3.1944444444444442E-3</v>
      </c>
      <c r="O413">
        <v>5</v>
      </c>
      <c r="P413" t="s">
        <v>558</v>
      </c>
    </row>
    <row r="414" spans="1:16" x14ac:dyDescent="0.25">
      <c r="A414" t="s">
        <v>408</v>
      </c>
      <c r="B414" t="s">
        <v>14</v>
      </c>
      <c r="C414" s="11">
        <v>45200.084108796298</v>
      </c>
      <c r="D414" s="11">
        <v>45200.108229166668</v>
      </c>
      <c r="E414" t="s">
        <v>57</v>
      </c>
      <c r="F414" t="s">
        <v>58</v>
      </c>
      <c r="G414" t="s">
        <v>30</v>
      </c>
      <c r="H414">
        <v>13137</v>
      </c>
      <c r="I414">
        <v>41.912557999999997</v>
      </c>
      <c r="J414">
        <v>-87.634370000000004</v>
      </c>
      <c r="K414">
        <v>41.937671999999999</v>
      </c>
      <c r="L414">
        <v>-87.644592000000003</v>
      </c>
      <c r="M414" t="s">
        <v>17</v>
      </c>
      <c r="N414" s="12">
        <v>2.4120370370370372E-2</v>
      </c>
      <c r="O414">
        <v>1</v>
      </c>
      <c r="P414" t="s">
        <v>554</v>
      </c>
    </row>
    <row r="415" spans="1:16" x14ac:dyDescent="0.25">
      <c r="A415" t="s">
        <v>409</v>
      </c>
      <c r="B415" t="s">
        <v>14</v>
      </c>
      <c r="C415" s="11">
        <v>45200.116342592592</v>
      </c>
      <c r="D415" s="11">
        <v>45200.120428240742</v>
      </c>
      <c r="E415" t="s">
        <v>57</v>
      </c>
      <c r="F415" t="s">
        <v>58</v>
      </c>
      <c r="G415" t="s">
        <v>57</v>
      </c>
      <c r="H415" t="s">
        <v>58</v>
      </c>
      <c r="I415">
        <v>41.912053</v>
      </c>
      <c r="J415">
        <v>-87.634900000000002</v>
      </c>
      <c r="K415">
        <v>41.912244999999999</v>
      </c>
      <c r="L415">
        <v>-87.635074000000003</v>
      </c>
      <c r="M415" t="s">
        <v>17</v>
      </c>
      <c r="N415" s="12">
        <v>4.0856481481481481E-3</v>
      </c>
      <c r="O415">
        <v>1</v>
      </c>
      <c r="P415" t="s">
        <v>554</v>
      </c>
    </row>
    <row r="416" spans="1:16" x14ac:dyDescent="0.25">
      <c r="A416" t="s">
        <v>410</v>
      </c>
      <c r="B416" t="s">
        <v>14</v>
      </c>
      <c r="C416" s="11">
        <v>45200.472777777781</v>
      </c>
      <c r="D416" s="11">
        <v>45200.476921296293</v>
      </c>
      <c r="E416" t="s">
        <v>27</v>
      </c>
      <c r="F416" t="s">
        <v>28</v>
      </c>
      <c r="G416" t="s">
        <v>27</v>
      </c>
      <c r="H416" t="s">
        <v>28</v>
      </c>
      <c r="I416">
        <v>41.888708000000001</v>
      </c>
      <c r="J416">
        <v>-87.638035000000002</v>
      </c>
      <c r="K416">
        <v>41.889451000000001</v>
      </c>
      <c r="L416">
        <v>-87.638025999999996</v>
      </c>
      <c r="M416" t="s">
        <v>17</v>
      </c>
      <c r="N416" s="12">
        <v>4.1435185185185186E-3</v>
      </c>
      <c r="O416">
        <v>1</v>
      </c>
      <c r="P416" t="s">
        <v>554</v>
      </c>
    </row>
    <row r="417" spans="1:16" x14ac:dyDescent="0.25">
      <c r="A417" t="s">
        <v>411</v>
      </c>
      <c r="B417" t="s">
        <v>26</v>
      </c>
      <c r="C417" s="11">
        <v>45201.386041666665</v>
      </c>
      <c r="D417" s="11">
        <v>45201.391585648147</v>
      </c>
      <c r="E417" t="s">
        <v>21</v>
      </c>
      <c r="F417">
        <v>21213</v>
      </c>
      <c r="G417" t="s">
        <v>23</v>
      </c>
      <c r="H417">
        <v>13011</v>
      </c>
      <c r="I417">
        <v>41.835037999999997</v>
      </c>
      <c r="J417">
        <v>-87.625446999999994</v>
      </c>
      <c r="K417">
        <v>41.878815000000003</v>
      </c>
      <c r="L417">
        <v>-87.639712000000003</v>
      </c>
      <c r="M417" t="s">
        <v>17</v>
      </c>
      <c r="N417" s="12">
        <v>5.5439814814814822E-3</v>
      </c>
      <c r="O417">
        <v>2</v>
      </c>
      <c r="P417" t="s">
        <v>555</v>
      </c>
    </row>
    <row r="418" spans="1:16" x14ac:dyDescent="0.25">
      <c r="A418" t="s">
        <v>413</v>
      </c>
      <c r="B418" t="s">
        <v>37</v>
      </c>
      <c r="C418" s="11">
        <v>45204.047418981485</v>
      </c>
      <c r="D418" s="11">
        <v>45204.052523148152</v>
      </c>
      <c r="E418" t="s">
        <v>41</v>
      </c>
      <c r="F418" t="s">
        <v>42</v>
      </c>
      <c r="G418" t="s">
        <v>41</v>
      </c>
      <c r="H418" t="s">
        <v>42</v>
      </c>
      <c r="I418">
        <v>41.902934000000002</v>
      </c>
      <c r="J418">
        <v>-87.631574000000001</v>
      </c>
      <c r="K418">
        <v>41.902836999999998</v>
      </c>
      <c r="L418">
        <v>-87.631276999999997</v>
      </c>
      <c r="M418" t="s">
        <v>17</v>
      </c>
      <c r="N418" s="12">
        <v>5.1041666666666666E-3</v>
      </c>
      <c r="O418">
        <v>5</v>
      </c>
      <c r="P418" t="s">
        <v>558</v>
      </c>
    </row>
    <row r="419" spans="1:16" x14ac:dyDescent="0.25">
      <c r="A419" t="s">
        <v>415</v>
      </c>
      <c r="B419" t="s">
        <v>14</v>
      </c>
      <c r="C419" s="11">
        <v>45204.579108796293</v>
      </c>
      <c r="D419" s="11">
        <v>45204.584293981483</v>
      </c>
      <c r="E419" t="s">
        <v>15</v>
      </c>
      <c r="F419">
        <v>13008</v>
      </c>
      <c r="G419" t="s">
        <v>21</v>
      </c>
      <c r="H419">
        <v>21213</v>
      </c>
      <c r="I419">
        <v>41.881095000000002</v>
      </c>
      <c r="J419">
        <v>-87.624155999999999</v>
      </c>
      <c r="K419">
        <v>41.834560000000003</v>
      </c>
      <c r="L419">
        <v>-87.625473</v>
      </c>
      <c r="M419" t="s">
        <v>17</v>
      </c>
      <c r="N419" s="12">
        <v>5.185185185185185E-3</v>
      </c>
      <c r="O419">
        <v>5</v>
      </c>
      <c r="P419" t="s">
        <v>558</v>
      </c>
    </row>
    <row r="420" spans="1:16" x14ac:dyDescent="0.25">
      <c r="A420" t="s">
        <v>416</v>
      </c>
      <c r="B420" t="s">
        <v>14</v>
      </c>
      <c r="C420" s="11">
        <v>45204.64334490741</v>
      </c>
      <c r="D420" s="11">
        <v>45204.649004629631</v>
      </c>
      <c r="E420" t="s">
        <v>43</v>
      </c>
      <c r="F420" t="s">
        <v>44</v>
      </c>
      <c r="G420" t="s">
        <v>21</v>
      </c>
      <c r="H420">
        <v>21213</v>
      </c>
      <c r="I420">
        <v>41.902808999999998</v>
      </c>
      <c r="J420">
        <v>-87.634621999999993</v>
      </c>
      <c r="K420">
        <v>41.834778999999997</v>
      </c>
      <c r="L420">
        <v>-87.626105999999993</v>
      </c>
      <c r="M420" t="s">
        <v>17</v>
      </c>
      <c r="N420" s="12">
        <v>5.6597222222222222E-3</v>
      </c>
      <c r="O420">
        <v>5</v>
      </c>
      <c r="P420" t="s">
        <v>558</v>
      </c>
    </row>
    <row r="421" spans="1:16" x14ac:dyDescent="0.25">
      <c r="A421" t="s">
        <v>421</v>
      </c>
      <c r="B421" t="s">
        <v>14</v>
      </c>
      <c r="C421" s="11">
        <v>45209.423981481479</v>
      </c>
      <c r="D421" s="11">
        <v>45209.426979166667</v>
      </c>
      <c r="E421" t="s">
        <v>33</v>
      </c>
      <c r="F421" t="s">
        <v>34</v>
      </c>
      <c r="G421" t="s">
        <v>24</v>
      </c>
      <c r="H421">
        <v>13263</v>
      </c>
      <c r="I421">
        <v>41.887206999999997</v>
      </c>
      <c r="J421">
        <v>-87.613125999999994</v>
      </c>
      <c r="K421">
        <v>41.885086000000001</v>
      </c>
      <c r="L421">
        <v>-87.619202000000001</v>
      </c>
      <c r="M421" t="s">
        <v>17</v>
      </c>
      <c r="N421" s="12">
        <v>2.9976851851851848E-3</v>
      </c>
      <c r="O421">
        <v>3</v>
      </c>
      <c r="P421" t="s">
        <v>556</v>
      </c>
    </row>
    <row r="422" spans="1:16" x14ac:dyDescent="0.25">
      <c r="A422" t="s">
        <v>423</v>
      </c>
      <c r="B422" t="s">
        <v>14</v>
      </c>
      <c r="C422" s="11">
        <v>45210.084548611114</v>
      </c>
      <c r="D422" s="11">
        <v>45210.090196759258</v>
      </c>
      <c r="E422" t="s">
        <v>41</v>
      </c>
      <c r="F422" t="s">
        <v>42</v>
      </c>
      <c r="G422" t="s">
        <v>57</v>
      </c>
      <c r="H422" t="s">
        <v>58</v>
      </c>
      <c r="I422">
        <v>41.903100999999999</v>
      </c>
      <c r="J422">
        <v>-87.631596000000002</v>
      </c>
      <c r="K422">
        <v>41.911738999999997</v>
      </c>
      <c r="L422">
        <v>-87.634343000000001</v>
      </c>
      <c r="M422" t="s">
        <v>17</v>
      </c>
      <c r="N422" s="12">
        <v>5.6481481481481478E-3</v>
      </c>
      <c r="O422">
        <v>4</v>
      </c>
      <c r="P422" t="s">
        <v>557</v>
      </c>
    </row>
    <row r="423" spans="1:16" x14ac:dyDescent="0.25">
      <c r="A423" t="s">
        <v>424</v>
      </c>
      <c r="B423" t="s">
        <v>37</v>
      </c>
      <c r="C423" s="11">
        <v>45211.128263888888</v>
      </c>
      <c r="D423" s="11">
        <v>45211.141875000001</v>
      </c>
      <c r="E423" t="s">
        <v>23</v>
      </c>
      <c r="F423">
        <v>13011</v>
      </c>
      <c r="G423" t="s">
        <v>35</v>
      </c>
      <c r="H423">
        <v>13022</v>
      </c>
      <c r="I423">
        <v>41.879460000000002</v>
      </c>
      <c r="J423">
        <v>-87.639957999999993</v>
      </c>
      <c r="K423">
        <v>41.892642000000002</v>
      </c>
      <c r="L423">
        <v>-87.611985000000004</v>
      </c>
      <c r="M423" t="s">
        <v>17</v>
      </c>
      <c r="N423" s="12">
        <v>1.3611111111111114E-2</v>
      </c>
      <c r="O423">
        <v>5</v>
      </c>
      <c r="P423" t="s">
        <v>558</v>
      </c>
    </row>
    <row r="424" spans="1:16" x14ac:dyDescent="0.25">
      <c r="A424" t="s">
        <v>425</v>
      </c>
      <c r="B424" t="s">
        <v>37</v>
      </c>
      <c r="C424" s="11">
        <v>45212.256064814814</v>
      </c>
      <c r="D424" s="11">
        <v>45212.262488425928</v>
      </c>
      <c r="E424" t="s">
        <v>30</v>
      </c>
      <c r="F424">
        <v>13137</v>
      </c>
      <c r="G424" t="s">
        <v>35</v>
      </c>
      <c r="H424">
        <v>13022</v>
      </c>
      <c r="I424">
        <v>41.937857999999999</v>
      </c>
      <c r="J424">
        <v>-87.644144999999995</v>
      </c>
      <c r="K424">
        <v>41.892302000000001</v>
      </c>
      <c r="L424">
        <v>-87.612101999999993</v>
      </c>
      <c r="M424" t="s">
        <v>17</v>
      </c>
      <c r="N424" s="12">
        <v>6.4236111111111117E-3</v>
      </c>
      <c r="O424">
        <v>6</v>
      </c>
      <c r="P424" t="s">
        <v>559</v>
      </c>
    </row>
    <row r="425" spans="1:16" x14ac:dyDescent="0.25">
      <c r="A425" t="s">
        <v>426</v>
      </c>
      <c r="B425" t="s">
        <v>26</v>
      </c>
      <c r="C425" s="11">
        <v>45213.864814814813</v>
      </c>
      <c r="D425" s="11">
        <v>45213.884699074071</v>
      </c>
      <c r="E425" t="s">
        <v>27</v>
      </c>
      <c r="F425" t="s">
        <v>28</v>
      </c>
      <c r="G425" t="s">
        <v>47</v>
      </c>
      <c r="H425" t="s">
        <v>48</v>
      </c>
      <c r="I425">
        <v>41.889299999999999</v>
      </c>
      <c r="J425">
        <v>-87.638406000000003</v>
      </c>
      <c r="K425">
        <v>41.881796000000001</v>
      </c>
      <c r="L425">
        <v>-87.641188999999997</v>
      </c>
      <c r="M425" t="s">
        <v>17</v>
      </c>
      <c r="N425" s="12">
        <v>1.9884259259259258E-2</v>
      </c>
      <c r="O425">
        <v>7</v>
      </c>
      <c r="P425" t="s">
        <v>560</v>
      </c>
    </row>
    <row r="426" spans="1:16" x14ac:dyDescent="0.25">
      <c r="A426" t="s">
        <v>427</v>
      </c>
      <c r="B426" t="s">
        <v>26</v>
      </c>
      <c r="C426" s="11">
        <v>45214.567881944444</v>
      </c>
      <c r="D426" s="11">
        <v>45214.57303240741</v>
      </c>
      <c r="E426" t="s">
        <v>43</v>
      </c>
      <c r="F426" t="s">
        <v>44</v>
      </c>
      <c r="G426" t="s">
        <v>30</v>
      </c>
      <c r="H426">
        <v>13137</v>
      </c>
      <c r="I426">
        <v>41.902987000000003</v>
      </c>
      <c r="J426">
        <v>-87.634152</v>
      </c>
      <c r="K426">
        <v>41.937134</v>
      </c>
      <c r="L426">
        <v>-87.644484000000006</v>
      </c>
      <c r="M426" t="s">
        <v>17</v>
      </c>
      <c r="N426" s="12">
        <v>5.1504629629629635E-3</v>
      </c>
      <c r="O426">
        <v>1</v>
      </c>
      <c r="P426" t="s">
        <v>554</v>
      </c>
    </row>
    <row r="427" spans="1:16" x14ac:dyDescent="0.25">
      <c r="A427" t="s">
        <v>429</v>
      </c>
      <c r="B427" t="s">
        <v>14</v>
      </c>
      <c r="C427" s="11">
        <v>45216.141886574071</v>
      </c>
      <c r="D427" s="11">
        <v>45216.153854166667</v>
      </c>
      <c r="E427" t="s">
        <v>57</v>
      </c>
      <c r="F427" t="s">
        <v>58</v>
      </c>
      <c r="G427" t="s">
        <v>57</v>
      </c>
      <c r="H427" t="s">
        <v>58</v>
      </c>
      <c r="I427">
        <v>41.912050999999998</v>
      </c>
      <c r="J427">
        <v>-87.634405000000001</v>
      </c>
      <c r="K427">
        <v>41.911734000000003</v>
      </c>
      <c r="L427">
        <v>-87.634878</v>
      </c>
      <c r="M427" t="s">
        <v>17</v>
      </c>
      <c r="N427" s="12">
        <v>1.1967592592592592E-2</v>
      </c>
      <c r="O427">
        <v>3</v>
      </c>
      <c r="P427" t="s">
        <v>556</v>
      </c>
    </row>
    <row r="428" spans="1:16" x14ac:dyDescent="0.25">
      <c r="A428" t="s">
        <v>430</v>
      </c>
      <c r="B428" t="s">
        <v>37</v>
      </c>
      <c r="C428" s="11">
        <v>45217.477094907408</v>
      </c>
      <c r="D428" s="11">
        <v>45217.482754629629</v>
      </c>
      <c r="E428" t="s">
        <v>19</v>
      </c>
      <c r="F428" t="s">
        <v>20</v>
      </c>
      <c r="G428" t="s">
        <v>21</v>
      </c>
      <c r="H428">
        <v>21213</v>
      </c>
      <c r="I428">
        <v>41.926372000000001</v>
      </c>
      <c r="J428">
        <v>-87.631162000000003</v>
      </c>
      <c r="K428">
        <v>41.835160000000002</v>
      </c>
      <c r="L428">
        <v>-87.626244999999997</v>
      </c>
      <c r="M428" t="s">
        <v>17</v>
      </c>
      <c r="N428" s="12">
        <v>5.6597222222222222E-3</v>
      </c>
      <c r="O428">
        <v>4</v>
      </c>
      <c r="P428" t="s">
        <v>557</v>
      </c>
    </row>
    <row r="429" spans="1:16" x14ac:dyDescent="0.25">
      <c r="A429" t="s">
        <v>431</v>
      </c>
      <c r="B429" t="s">
        <v>14</v>
      </c>
      <c r="C429" s="11">
        <v>45218.035532407404</v>
      </c>
      <c r="D429" s="11">
        <v>45218.042361111111</v>
      </c>
      <c r="E429" t="s">
        <v>19</v>
      </c>
      <c r="F429" t="s">
        <v>20</v>
      </c>
      <c r="G429" t="s">
        <v>27</v>
      </c>
      <c r="H429" t="s">
        <v>28</v>
      </c>
      <c r="I429">
        <v>41.925857000000001</v>
      </c>
      <c r="J429">
        <v>-87.631022000000002</v>
      </c>
      <c r="K429">
        <v>41.888693000000004</v>
      </c>
      <c r="L429">
        <v>-87.638988999999995</v>
      </c>
      <c r="M429" t="s">
        <v>17</v>
      </c>
      <c r="N429" s="12">
        <v>6.828703703703704E-3</v>
      </c>
      <c r="O429">
        <v>5</v>
      </c>
      <c r="P429" t="s">
        <v>558</v>
      </c>
    </row>
    <row r="430" spans="1:16" x14ac:dyDescent="0.25">
      <c r="A430" t="s">
        <v>432</v>
      </c>
      <c r="B430" t="s">
        <v>37</v>
      </c>
      <c r="C430" s="11">
        <v>45218.664363425924</v>
      </c>
      <c r="D430" s="11">
        <v>45218.671458333331</v>
      </c>
      <c r="E430" t="s">
        <v>19</v>
      </c>
      <c r="F430" t="s">
        <v>20</v>
      </c>
      <c r="G430" t="s">
        <v>19</v>
      </c>
      <c r="H430" t="s">
        <v>20</v>
      </c>
      <c r="I430">
        <v>41.926335000000002</v>
      </c>
      <c r="J430">
        <v>-87.630987000000005</v>
      </c>
      <c r="K430">
        <v>41.92671</v>
      </c>
      <c r="L430">
        <v>-87.630410999999995</v>
      </c>
      <c r="M430" t="s">
        <v>17</v>
      </c>
      <c r="N430" s="12">
        <v>7.0949074074074074E-3</v>
      </c>
      <c r="O430">
        <v>5</v>
      </c>
      <c r="P430" t="s">
        <v>558</v>
      </c>
    </row>
    <row r="431" spans="1:16" x14ac:dyDescent="0.25">
      <c r="A431" t="s">
        <v>435</v>
      </c>
      <c r="B431" t="s">
        <v>37</v>
      </c>
      <c r="C431" s="11">
        <v>45220.732685185183</v>
      </c>
      <c r="D431" s="11">
        <v>45220.742256944446</v>
      </c>
      <c r="E431" t="s">
        <v>15</v>
      </c>
      <c r="F431">
        <v>13008</v>
      </c>
      <c r="G431" t="s">
        <v>19</v>
      </c>
      <c r="H431" t="s">
        <v>20</v>
      </c>
      <c r="I431">
        <v>41.880986</v>
      </c>
      <c r="J431">
        <v>-87.623896000000002</v>
      </c>
      <c r="K431">
        <v>41.925918000000003</v>
      </c>
      <c r="L431">
        <v>-87.630848</v>
      </c>
      <c r="M431" t="s">
        <v>17</v>
      </c>
      <c r="N431" s="12">
        <v>9.571759259259259E-3</v>
      </c>
      <c r="O431">
        <v>7</v>
      </c>
      <c r="P431" t="s">
        <v>560</v>
      </c>
    </row>
    <row r="432" spans="1:16" x14ac:dyDescent="0.25">
      <c r="A432" t="s">
        <v>436</v>
      </c>
      <c r="B432" t="s">
        <v>14</v>
      </c>
      <c r="C432" s="11">
        <v>45222.265798611108</v>
      </c>
      <c r="D432" s="11">
        <v>45222.276354166665</v>
      </c>
      <c r="E432" t="s">
        <v>33</v>
      </c>
      <c r="F432" t="s">
        <v>34</v>
      </c>
      <c r="G432" t="s">
        <v>33</v>
      </c>
      <c r="H432" t="s">
        <v>34</v>
      </c>
      <c r="I432">
        <v>41.887467000000001</v>
      </c>
      <c r="J432">
        <v>-87.613080999999994</v>
      </c>
      <c r="K432">
        <v>41.887419000000001</v>
      </c>
      <c r="L432">
        <v>-87.612662999999998</v>
      </c>
      <c r="M432" t="s">
        <v>17</v>
      </c>
      <c r="N432" s="12">
        <v>1.0555555555555554E-2</v>
      </c>
      <c r="O432">
        <v>2</v>
      </c>
      <c r="P432" t="s">
        <v>555</v>
      </c>
    </row>
    <row r="433" spans="1:16" x14ac:dyDescent="0.25">
      <c r="A433" t="s">
        <v>439</v>
      </c>
      <c r="B433" t="s">
        <v>14</v>
      </c>
      <c r="C433" s="11">
        <v>45223.250243055554</v>
      </c>
      <c r="D433" s="11">
        <v>45223.272465277776</v>
      </c>
      <c r="E433" t="s">
        <v>24</v>
      </c>
      <c r="F433">
        <v>13263</v>
      </c>
      <c r="G433" t="s">
        <v>16</v>
      </c>
      <c r="H433">
        <v>13045</v>
      </c>
      <c r="I433">
        <v>41.885066999999999</v>
      </c>
      <c r="J433">
        <v>-87.619895999999997</v>
      </c>
      <c r="K433">
        <v>41.894413</v>
      </c>
      <c r="L433">
        <v>-87.628947999999994</v>
      </c>
      <c r="M433" t="s">
        <v>17</v>
      </c>
      <c r="N433" s="12">
        <v>2.2222222222222223E-2</v>
      </c>
      <c r="O433">
        <v>3</v>
      </c>
      <c r="P433" t="s">
        <v>556</v>
      </c>
    </row>
    <row r="434" spans="1:16" x14ac:dyDescent="0.25">
      <c r="A434" t="s">
        <v>440</v>
      </c>
      <c r="B434" t="s">
        <v>26</v>
      </c>
      <c r="C434" s="11">
        <v>45224.012546296297</v>
      </c>
      <c r="D434" s="11">
        <v>45224.03193287037</v>
      </c>
      <c r="E434" t="s">
        <v>19</v>
      </c>
      <c r="F434" t="s">
        <v>20</v>
      </c>
      <c r="G434" t="s">
        <v>35</v>
      </c>
      <c r="H434">
        <v>13022</v>
      </c>
      <c r="I434">
        <v>41.926177000000003</v>
      </c>
      <c r="J434">
        <v>-87.630550999999997</v>
      </c>
      <c r="K434">
        <v>41.892043999999999</v>
      </c>
      <c r="L434">
        <v>-87.611553000000001</v>
      </c>
      <c r="M434" t="s">
        <v>17</v>
      </c>
      <c r="N434" s="12">
        <v>1.9386574074074073E-2</v>
      </c>
      <c r="O434">
        <v>4</v>
      </c>
      <c r="P434" t="s">
        <v>557</v>
      </c>
    </row>
    <row r="435" spans="1:16" x14ac:dyDescent="0.25">
      <c r="A435" t="s">
        <v>441</v>
      </c>
      <c r="B435" t="s">
        <v>14</v>
      </c>
      <c r="C435" s="11">
        <v>45224.386099537034</v>
      </c>
      <c r="D435" s="11">
        <v>45224.393483796295</v>
      </c>
      <c r="E435" t="s">
        <v>19</v>
      </c>
      <c r="F435" t="s">
        <v>20</v>
      </c>
      <c r="G435" t="s">
        <v>21</v>
      </c>
      <c r="H435">
        <v>21213</v>
      </c>
      <c r="I435">
        <v>41.926312000000003</v>
      </c>
      <c r="J435">
        <v>-87.630768000000003</v>
      </c>
      <c r="K435">
        <v>41.834985000000003</v>
      </c>
      <c r="L435">
        <v>-87.626181000000003</v>
      </c>
      <c r="M435" t="s">
        <v>17</v>
      </c>
      <c r="N435" s="12">
        <v>7.3842592592592597E-3</v>
      </c>
      <c r="O435">
        <v>4</v>
      </c>
      <c r="P435" t="s">
        <v>557</v>
      </c>
    </row>
    <row r="436" spans="1:16" x14ac:dyDescent="0.25">
      <c r="A436" t="s">
        <v>442</v>
      </c>
      <c r="B436" t="s">
        <v>14</v>
      </c>
      <c r="C436" s="11">
        <v>45228.652268518519</v>
      </c>
      <c r="D436" s="11">
        <v>45228.667245370372</v>
      </c>
      <c r="E436" t="s">
        <v>23</v>
      </c>
      <c r="F436">
        <v>13011</v>
      </c>
      <c r="G436" t="s">
        <v>33</v>
      </c>
      <c r="H436" t="s">
        <v>34</v>
      </c>
      <c r="I436">
        <v>41.879406000000003</v>
      </c>
      <c r="J436">
        <v>-87.639529999999993</v>
      </c>
      <c r="K436">
        <v>41.886476000000002</v>
      </c>
      <c r="L436">
        <v>-87.613144000000005</v>
      </c>
      <c r="M436" t="s">
        <v>17</v>
      </c>
      <c r="N436" s="12">
        <v>1.4976851851851852E-2</v>
      </c>
      <c r="O436">
        <v>1</v>
      </c>
      <c r="P436" t="s">
        <v>554</v>
      </c>
    </row>
    <row r="437" spans="1:16" x14ac:dyDescent="0.25">
      <c r="A437" t="s">
        <v>443</v>
      </c>
      <c r="B437" t="s">
        <v>14</v>
      </c>
      <c r="C437" s="11">
        <v>45229.220023148147</v>
      </c>
      <c r="D437" s="11">
        <v>45229.230694444443</v>
      </c>
      <c r="E437" t="s">
        <v>35</v>
      </c>
      <c r="F437">
        <v>13022</v>
      </c>
      <c r="G437" t="s">
        <v>47</v>
      </c>
      <c r="H437" t="s">
        <v>48</v>
      </c>
      <c r="I437">
        <v>41.892623</v>
      </c>
      <c r="J437">
        <v>-87.612520000000004</v>
      </c>
      <c r="K437">
        <v>41.882556000000001</v>
      </c>
      <c r="L437">
        <v>-87.641283999999999</v>
      </c>
      <c r="M437" t="s">
        <v>17</v>
      </c>
      <c r="N437" s="12">
        <v>1.0671296296296297E-2</v>
      </c>
      <c r="O437">
        <v>2</v>
      </c>
      <c r="P437" t="s">
        <v>555</v>
      </c>
    </row>
    <row r="438" spans="1:16" x14ac:dyDescent="0.25">
      <c r="A438" t="s">
        <v>444</v>
      </c>
      <c r="B438" t="s">
        <v>37</v>
      </c>
      <c r="C438" s="11">
        <v>45229.294270833336</v>
      </c>
      <c r="D438" s="11">
        <v>45229.309351851851</v>
      </c>
      <c r="E438" t="s">
        <v>21</v>
      </c>
      <c r="F438">
        <v>21213</v>
      </c>
      <c r="G438" t="s">
        <v>19</v>
      </c>
      <c r="H438" t="s">
        <v>20</v>
      </c>
      <c r="I438">
        <v>41.835219000000002</v>
      </c>
      <c r="J438">
        <v>-87.625376000000003</v>
      </c>
      <c r="K438">
        <v>41.925820000000002</v>
      </c>
      <c r="L438">
        <v>-87.631169</v>
      </c>
      <c r="M438" t="s">
        <v>17</v>
      </c>
      <c r="N438" s="12">
        <v>1.5081018518518516E-2</v>
      </c>
      <c r="O438">
        <v>2</v>
      </c>
      <c r="P438" t="s">
        <v>555</v>
      </c>
    </row>
    <row r="439" spans="1:16" x14ac:dyDescent="0.25">
      <c r="A439" t="s">
        <v>446</v>
      </c>
      <c r="B439" t="s">
        <v>37</v>
      </c>
      <c r="C439" s="11">
        <v>45231.024756944447</v>
      </c>
      <c r="D439" s="11">
        <v>45231.027627314812</v>
      </c>
      <c r="E439" t="s">
        <v>57</v>
      </c>
      <c r="F439" t="s">
        <v>58</v>
      </c>
      <c r="G439" t="s">
        <v>57</v>
      </c>
      <c r="H439" t="s">
        <v>58</v>
      </c>
      <c r="I439">
        <v>41.912021000000003</v>
      </c>
      <c r="J439">
        <v>-87.635018000000002</v>
      </c>
      <c r="K439">
        <v>41.912371</v>
      </c>
      <c r="L439">
        <v>-87.634298999999999</v>
      </c>
      <c r="M439" t="s">
        <v>17</v>
      </c>
      <c r="N439" s="12">
        <v>2.8703703703703708E-3</v>
      </c>
      <c r="O439">
        <v>4</v>
      </c>
      <c r="P439" t="s">
        <v>557</v>
      </c>
    </row>
    <row r="440" spans="1:16" x14ac:dyDescent="0.25">
      <c r="A440" t="s">
        <v>447</v>
      </c>
      <c r="B440" t="s">
        <v>14</v>
      </c>
      <c r="C440" s="11">
        <v>45231.552800925929</v>
      </c>
      <c r="D440" s="11">
        <v>45231.574421296296</v>
      </c>
      <c r="E440" t="s">
        <v>19</v>
      </c>
      <c r="F440" t="s">
        <v>20</v>
      </c>
      <c r="G440" t="s">
        <v>27</v>
      </c>
      <c r="H440" t="s">
        <v>28</v>
      </c>
      <c r="I440">
        <v>41.926318000000002</v>
      </c>
      <c r="J440">
        <v>-87.630624999999995</v>
      </c>
      <c r="K440">
        <v>41.889547999999998</v>
      </c>
      <c r="L440">
        <v>-87.638292000000007</v>
      </c>
      <c r="M440" t="s">
        <v>17</v>
      </c>
      <c r="N440" s="12">
        <v>2.162037037037037E-2</v>
      </c>
      <c r="O440">
        <v>4</v>
      </c>
      <c r="P440" t="s">
        <v>557</v>
      </c>
    </row>
    <row r="441" spans="1:16" x14ac:dyDescent="0.25">
      <c r="A441" t="s">
        <v>449</v>
      </c>
      <c r="B441" t="s">
        <v>14</v>
      </c>
      <c r="C441" s="11">
        <v>45232.049270833333</v>
      </c>
      <c r="D441" s="11">
        <v>45232.058206018519</v>
      </c>
      <c r="E441" t="s">
        <v>35</v>
      </c>
      <c r="F441">
        <v>13022</v>
      </c>
      <c r="G441" t="s">
        <v>35</v>
      </c>
      <c r="H441">
        <v>13022</v>
      </c>
      <c r="I441">
        <v>41.892570999999997</v>
      </c>
      <c r="J441">
        <v>-87.612474000000006</v>
      </c>
      <c r="K441">
        <v>41.892251999999999</v>
      </c>
      <c r="L441">
        <v>-87.611981999999998</v>
      </c>
      <c r="M441" t="s">
        <v>17</v>
      </c>
      <c r="N441" s="12">
        <v>8.9351851851851866E-3</v>
      </c>
      <c r="O441">
        <v>5</v>
      </c>
      <c r="P441" t="s">
        <v>558</v>
      </c>
    </row>
    <row r="442" spans="1:16" x14ac:dyDescent="0.25">
      <c r="A442" t="s">
        <v>453</v>
      </c>
      <c r="B442" t="s">
        <v>37</v>
      </c>
      <c r="C442" s="11">
        <v>45236.138993055552</v>
      </c>
      <c r="D442" s="11">
        <v>45236.15556712963</v>
      </c>
      <c r="E442" t="s">
        <v>16</v>
      </c>
      <c r="F442">
        <v>13045</v>
      </c>
      <c r="G442" t="s">
        <v>27</v>
      </c>
      <c r="H442" t="s">
        <v>28</v>
      </c>
      <c r="I442">
        <v>41.893906999999999</v>
      </c>
      <c r="J442">
        <v>-87.628953999999993</v>
      </c>
      <c r="K442">
        <v>41.889600000000002</v>
      </c>
      <c r="L442">
        <v>-87.638540000000006</v>
      </c>
      <c r="M442" t="s">
        <v>17</v>
      </c>
      <c r="N442" s="12">
        <v>1.6574074074074074E-2</v>
      </c>
      <c r="O442">
        <v>2</v>
      </c>
      <c r="P442" t="s">
        <v>555</v>
      </c>
    </row>
    <row r="443" spans="1:16" x14ac:dyDescent="0.25">
      <c r="A443" t="s">
        <v>454</v>
      </c>
      <c r="B443" t="s">
        <v>14</v>
      </c>
      <c r="C443" s="11">
        <v>45237.983229166668</v>
      </c>
      <c r="D443" s="11">
        <v>45237.987268518518</v>
      </c>
      <c r="E443" t="s">
        <v>23</v>
      </c>
      <c r="F443">
        <v>13011</v>
      </c>
      <c r="G443" t="s">
        <v>66</v>
      </c>
      <c r="H443">
        <v>13042</v>
      </c>
      <c r="I443">
        <v>41.879550000000002</v>
      </c>
      <c r="J443">
        <v>-87.640133000000006</v>
      </c>
      <c r="K443">
        <v>41.900899000000003</v>
      </c>
      <c r="L443">
        <v>-87.624199000000004</v>
      </c>
      <c r="M443" t="s">
        <v>17</v>
      </c>
      <c r="N443" s="12">
        <v>4.0393518518518521E-3</v>
      </c>
      <c r="O443">
        <v>3</v>
      </c>
      <c r="P443" t="s">
        <v>556</v>
      </c>
    </row>
    <row r="444" spans="1:16" x14ac:dyDescent="0.25">
      <c r="A444" t="s">
        <v>455</v>
      </c>
      <c r="B444" t="s">
        <v>14</v>
      </c>
      <c r="C444" s="11">
        <v>45239.190694444442</v>
      </c>
      <c r="D444" s="11">
        <v>45239.194699074076</v>
      </c>
      <c r="E444" t="s">
        <v>47</v>
      </c>
      <c r="F444" t="s">
        <v>48</v>
      </c>
      <c r="G444" t="s">
        <v>16</v>
      </c>
      <c r="H444">
        <v>13045</v>
      </c>
      <c r="I444">
        <v>41.882627999999997</v>
      </c>
      <c r="J444">
        <v>-87.640973000000002</v>
      </c>
      <c r="K444">
        <v>41.893884</v>
      </c>
      <c r="L444">
        <v>-87.629405000000006</v>
      </c>
      <c r="M444" t="s">
        <v>17</v>
      </c>
      <c r="N444" s="12">
        <v>4.0046296296296297E-3</v>
      </c>
      <c r="O444">
        <v>5</v>
      </c>
      <c r="P444" t="s">
        <v>558</v>
      </c>
    </row>
    <row r="445" spans="1:16" x14ac:dyDescent="0.25">
      <c r="A445" t="s">
        <v>457</v>
      </c>
      <c r="B445" t="s">
        <v>14</v>
      </c>
      <c r="C445" s="11">
        <v>45239.447881944441</v>
      </c>
      <c r="D445" s="11">
        <v>45239.48265046296</v>
      </c>
      <c r="E445" t="s">
        <v>66</v>
      </c>
      <c r="F445">
        <v>13042</v>
      </c>
      <c r="G445" t="s">
        <v>41</v>
      </c>
      <c r="H445" t="s">
        <v>42</v>
      </c>
      <c r="I445">
        <v>41.901024999999997</v>
      </c>
      <c r="J445">
        <v>-87.623812999999998</v>
      </c>
      <c r="K445">
        <v>41.903444999999998</v>
      </c>
      <c r="L445">
        <v>-87.631170999999995</v>
      </c>
      <c r="M445" t="s">
        <v>17</v>
      </c>
      <c r="N445" s="12">
        <v>3.4768518518518525E-2</v>
      </c>
      <c r="O445">
        <v>5</v>
      </c>
      <c r="P445" t="s">
        <v>558</v>
      </c>
    </row>
    <row r="446" spans="1:16" x14ac:dyDescent="0.25">
      <c r="A446" t="s">
        <v>459</v>
      </c>
      <c r="B446" t="s">
        <v>14</v>
      </c>
      <c r="C446" s="11">
        <v>45241.168437499997</v>
      </c>
      <c r="D446" s="11">
        <v>45241.186643518522</v>
      </c>
      <c r="E446" t="s">
        <v>19</v>
      </c>
      <c r="F446" t="s">
        <v>20</v>
      </c>
      <c r="G446" t="s">
        <v>33</v>
      </c>
      <c r="H446" t="s">
        <v>34</v>
      </c>
      <c r="I446">
        <v>41.926087000000003</v>
      </c>
      <c r="J446">
        <v>-87.630396000000005</v>
      </c>
      <c r="K446">
        <v>41.887152999999998</v>
      </c>
      <c r="L446">
        <v>-87.613193999999993</v>
      </c>
      <c r="M446" t="s">
        <v>17</v>
      </c>
      <c r="N446" s="12">
        <v>1.8206018518518517E-2</v>
      </c>
      <c r="O446">
        <v>7</v>
      </c>
      <c r="P446" t="s">
        <v>560</v>
      </c>
    </row>
    <row r="447" spans="1:16" x14ac:dyDescent="0.25">
      <c r="A447" t="s">
        <v>460</v>
      </c>
      <c r="B447" t="s">
        <v>14</v>
      </c>
      <c r="C447" s="11">
        <v>45242.110856481479</v>
      </c>
      <c r="D447" s="11">
        <v>45242.119386574072</v>
      </c>
      <c r="E447" t="s">
        <v>24</v>
      </c>
      <c r="F447">
        <v>13263</v>
      </c>
      <c r="G447" t="s">
        <v>24</v>
      </c>
      <c r="H447">
        <v>13263</v>
      </c>
      <c r="I447">
        <v>41.884934999999999</v>
      </c>
      <c r="J447">
        <v>-87.619366999999997</v>
      </c>
      <c r="K447">
        <v>41.885100999999999</v>
      </c>
      <c r="L447">
        <v>-87.619776999999999</v>
      </c>
      <c r="M447" t="s">
        <v>17</v>
      </c>
      <c r="N447" s="12">
        <v>8.5300925925925926E-3</v>
      </c>
      <c r="O447">
        <v>1</v>
      </c>
      <c r="P447" t="s">
        <v>554</v>
      </c>
    </row>
    <row r="448" spans="1:16" x14ac:dyDescent="0.25">
      <c r="A448" t="s">
        <v>461</v>
      </c>
      <c r="B448" t="s">
        <v>14</v>
      </c>
      <c r="C448" s="11">
        <v>45242.597754629627</v>
      </c>
      <c r="D448" s="11">
        <v>45242.607916666668</v>
      </c>
      <c r="E448" t="s">
        <v>43</v>
      </c>
      <c r="F448" t="s">
        <v>44</v>
      </c>
      <c r="G448" t="s">
        <v>57</v>
      </c>
      <c r="H448" t="s">
        <v>58</v>
      </c>
      <c r="I448">
        <v>41.902886000000002</v>
      </c>
      <c r="J448">
        <v>-87.634433000000001</v>
      </c>
      <c r="K448">
        <v>41.912602</v>
      </c>
      <c r="L448">
        <v>-87.634898000000007</v>
      </c>
      <c r="M448" t="s">
        <v>17</v>
      </c>
      <c r="N448" s="12">
        <v>1.0162037037037037E-2</v>
      </c>
      <c r="O448">
        <v>1</v>
      </c>
      <c r="P448" t="s">
        <v>554</v>
      </c>
    </row>
    <row r="449" spans="1:16" x14ac:dyDescent="0.25">
      <c r="A449" t="s">
        <v>462</v>
      </c>
      <c r="B449" t="s">
        <v>14</v>
      </c>
      <c r="C449" s="11">
        <v>45243.479884259257</v>
      </c>
      <c r="D449" s="11">
        <v>45243.5002662037</v>
      </c>
      <c r="E449" t="s">
        <v>27</v>
      </c>
      <c r="F449" t="s">
        <v>28</v>
      </c>
      <c r="G449" t="s">
        <v>27</v>
      </c>
      <c r="H449" t="s">
        <v>28</v>
      </c>
      <c r="I449">
        <v>41.888987</v>
      </c>
      <c r="J449">
        <v>-87.638273999999996</v>
      </c>
      <c r="K449">
        <v>41.889318000000003</v>
      </c>
      <c r="L449">
        <v>-87.638589999999994</v>
      </c>
      <c r="M449" t="s">
        <v>17</v>
      </c>
      <c r="N449" s="12">
        <v>2.0381944444444446E-2</v>
      </c>
      <c r="O449">
        <v>2</v>
      </c>
      <c r="P449" t="s">
        <v>555</v>
      </c>
    </row>
    <row r="450" spans="1:16" x14ac:dyDescent="0.25">
      <c r="A450" t="s">
        <v>463</v>
      </c>
      <c r="B450" t="s">
        <v>14</v>
      </c>
      <c r="C450" s="11">
        <v>45244.503275462965</v>
      </c>
      <c r="D450" s="11">
        <v>45244.514328703706</v>
      </c>
      <c r="E450" t="s">
        <v>23</v>
      </c>
      <c r="F450">
        <v>13011</v>
      </c>
      <c r="G450" t="s">
        <v>16</v>
      </c>
      <c r="H450">
        <v>13045</v>
      </c>
      <c r="I450">
        <v>41.878847</v>
      </c>
      <c r="J450">
        <v>-87.640067999999999</v>
      </c>
      <c r="K450">
        <v>41.894015000000003</v>
      </c>
      <c r="L450">
        <v>-87.629086000000001</v>
      </c>
      <c r="M450" t="s">
        <v>17</v>
      </c>
      <c r="N450" s="12">
        <v>1.105324074074074E-2</v>
      </c>
      <c r="O450">
        <v>3</v>
      </c>
      <c r="P450" t="s">
        <v>556</v>
      </c>
    </row>
    <row r="451" spans="1:16" x14ac:dyDescent="0.25">
      <c r="A451" t="s">
        <v>464</v>
      </c>
      <c r="B451" t="s">
        <v>37</v>
      </c>
      <c r="C451" s="11">
        <v>45245.016064814816</v>
      </c>
      <c r="D451" s="11">
        <v>45245.022499999999</v>
      </c>
      <c r="E451" t="s">
        <v>41</v>
      </c>
      <c r="F451" t="s">
        <v>42</v>
      </c>
      <c r="G451" t="s">
        <v>24</v>
      </c>
      <c r="H451">
        <v>13263</v>
      </c>
      <c r="I451">
        <v>41.902678999999999</v>
      </c>
      <c r="J451">
        <v>-87.631038000000004</v>
      </c>
      <c r="K451">
        <v>41.884774999999998</v>
      </c>
      <c r="L451">
        <v>-87.619136999999995</v>
      </c>
      <c r="M451" t="s">
        <v>17</v>
      </c>
      <c r="N451" s="12">
        <v>6.4351851851851861E-3</v>
      </c>
      <c r="O451">
        <v>4</v>
      </c>
      <c r="P451" t="s">
        <v>557</v>
      </c>
    </row>
    <row r="452" spans="1:16" x14ac:dyDescent="0.25">
      <c r="A452" t="s">
        <v>467</v>
      </c>
      <c r="B452" t="s">
        <v>14</v>
      </c>
      <c r="C452" s="11">
        <v>45249.33185185185</v>
      </c>
      <c r="D452" s="11">
        <v>45249.334652777776</v>
      </c>
      <c r="E452" t="s">
        <v>19</v>
      </c>
      <c r="F452" t="s">
        <v>20</v>
      </c>
      <c r="G452" t="s">
        <v>16</v>
      </c>
      <c r="H452">
        <v>13045</v>
      </c>
      <c r="I452">
        <v>41.926228000000002</v>
      </c>
      <c r="J452">
        <v>-87.630662000000001</v>
      </c>
      <c r="K452">
        <v>41.894075999999998</v>
      </c>
      <c r="L452">
        <v>-87.629292000000007</v>
      </c>
      <c r="M452" t="s">
        <v>17</v>
      </c>
      <c r="N452" s="12">
        <v>2.8009259259259259E-3</v>
      </c>
      <c r="O452">
        <v>1</v>
      </c>
      <c r="P452" t="s">
        <v>554</v>
      </c>
    </row>
    <row r="453" spans="1:16" x14ac:dyDescent="0.25">
      <c r="A453" t="s">
        <v>468</v>
      </c>
      <c r="B453" t="s">
        <v>37</v>
      </c>
      <c r="C453" s="11">
        <v>45249.382581018515</v>
      </c>
      <c r="D453" s="11">
        <v>45249.388206018521</v>
      </c>
      <c r="E453" t="s">
        <v>30</v>
      </c>
      <c r="F453">
        <v>13137</v>
      </c>
      <c r="G453" t="s">
        <v>16</v>
      </c>
      <c r="H453">
        <v>13045</v>
      </c>
      <c r="I453">
        <v>41.937620000000003</v>
      </c>
      <c r="J453">
        <v>-87.643606000000005</v>
      </c>
      <c r="K453">
        <v>41.894350000000003</v>
      </c>
      <c r="L453">
        <v>-87.629721000000004</v>
      </c>
      <c r="M453" t="s">
        <v>17</v>
      </c>
      <c r="N453" s="12">
        <v>5.6249999999999989E-3</v>
      </c>
      <c r="O453">
        <v>1</v>
      </c>
      <c r="P453" t="s">
        <v>554</v>
      </c>
    </row>
    <row r="454" spans="1:16" x14ac:dyDescent="0.25">
      <c r="A454" t="s">
        <v>470</v>
      </c>
      <c r="B454" t="s">
        <v>14</v>
      </c>
      <c r="C454" s="11">
        <v>45249.972997685189</v>
      </c>
      <c r="D454" s="11">
        <v>45249.982291666667</v>
      </c>
      <c r="E454" t="s">
        <v>57</v>
      </c>
      <c r="F454" t="s">
        <v>58</v>
      </c>
      <c r="G454" t="s">
        <v>47</v>
      </c>
      <c r="H454" t="s">
        <v>48</v>
      </c>
      <c r="I454">
        <v>41.911802999999999</v>
      </c>
      <c r="J454">
        <v>-87.635104999999996</v>
      </c>
      <c r="K454">
        <v>41.882359999999998</v>
      </c>
      <c r="L454">
        <v>-87.641357999999997</v>
      </c>
      <c r="M454" t="s">
        <v>17</v>
      </c>
      <c r="N454" s="12">
        <v>9.2939814814814812E-3</v>
      </c>
      <c r="O454">
        <v>1</v>
      </c>
      <c r="P454" t="s">
        <v>554</v>
      </c>
    </row>
    <row r="455" spans="1:16" x14ac:dyDescent="0.25">
      <c r="A455" t="s">
        <v>471</v>
      </c>
      <c r="B455" t="s">
        <v>14</v>
      </c>
      <c r="C455" s="11">
        <v>45250.434444444443</v>
      </c>
      <c r="D455" s="11">
        <v>45250.437222222223</v>
      </c>
      <c r="E455" t="s">
        <v>41</v>
      </c>
      <c r="F455" t="s">
        <v>42</v>
      </c>
      <c r="G455" t="s">
        <v>43</v>
      </c>
      <c r="H455" t="s">
        <v>44</v>
      </c>
      <c r="I455">
        <v>41.902582000000002</v>
      </c>
      <c r="J455">
        <v>-87.631388000000001</v>
      </c>
      <c r="K455">
        <v>41.902845999999997</v>
      </c>
      <c r="L455">
        <v>-87.633868000000007</v>
      </c>
      <c r="M455" t="s">
        <v>17</v>
      </c>
      <c r="N455" s="12">
        <v>2.7777777777777779E-3</v>
      </c>
      <c r="O455">
        <v>2</v>
      </c>
      <c r="P455" t="s">
        <v>555</v>
      </c>
    </row>
    <row r="456" spans="1:16" x14ac:dyDescent="0.25">
      <c r="A456" t="s">
        <v>474</v>
      </c>
      <c r="B456" t="s">
        <v>37</v>
      </c>
      <c r="C456" s="11">
        <v>45251.986064814817</v>
      </c>
      <c r="D456" s="11">
        <v>45251.989849537036</v>
      </c>
      <c r="E456" t="s">
        <v>21</v>
      </c>
      <c r="F456">
        <v>21213</v>
      </c>
      <c r="G456" t="s">
        <v>21</v>
      </c>
      <c r="H456">
        <v>21213</v>
      </c>
      <c r="I456">
        <v>41.834504000000003</v>
      </c>
      <c r="J456">
        <v>-87.625470000000007</v>
      </c>
      <c r="K456">
        <v>41.834547000000001</v>
      </c>
      <c r="L456">
        <v>-87.625523999999999</v>
      </c>
      <c r="M456" t="s">
        <v>17</v>
      </c>
      <c r="N456" s="12">
        <v>3.7847222222222223E-3</v>
      </c>
      <c r="O456">
        <v>3</v>
      </c>
      <c r="P456" t="s">
        <v>556</v>
      </c>
    </row>
    <row r="457" spans="1:16" x14ac:dyDescent="0.25">
      <c r="A457" t="s">
        <v>475</v>
      </c>
      <c r="B457" t="s">
        <v>14</v>
      </c>
      <c r="C457" s="11">
        <v>45253.134282407409</v>
      </c>
      <c r="D457" s="11">
        <v>45253.140960648147</v>
      </c>
      <c r="E457" t="s">
        <v>35</v>
      </c>
      <c r="F457">
        <v>13022</v>
      </c>
      <c r="G457" t="s">
        <v>57</v>
      </c>
      <c r="H457" t="s">
        <v>58</v>
      </c>
      <c r="I457">
        <v>41.892243000000001</v>
      </c>
      <c r="J457">
        <v>-87.612482999999997</v>
      </c>
      <c r="K457">
        <v>41.912194999999997</v>
      </c>
      <c r="L457">
        <v>-87.634197999999998</v>
      </c>
      <c r="M457" t="s">
        <v>17</v>
      </c>
      <c r="N457" s="12">
        <v>6.6782407407407415E-3</v>
      </c>
      <c r="O457">
        <v>5</v>
      </c>
      <c r="P457" t="s">
        <v>558</v>
      </c>
    </row>
    <row r="458" spans="1:16" x14ac:dyDescent="0.25">
      <c r="A458" t="s">
        <v>476</v>
      </c>
      <c r="B458" t="s">
        <v>37</v>
      </c>
      <c r="C458" s="11">
        <v>45253.328125</v>
      </c>
      <c r="D458" s="11">
        <v>45253.33488425926</v>
      </c>
      <c r="E458" t="s">
        <v>41</v>
      </c>
      <c r="F458" t="s">
        <v>42</v>
      </c>
      <c r="G458" t="s">
        <v>43</v>
      </c>
      <c r="H458" t="s">
        <v>44</v>
      </c>
      <c r="I458">
        <v>41.902863000000004</v>
      </c>
      <c r="J458">
        <v>-87.631299999999996</v>
      </c>
      <c r="K458">
        <v>41.902859999999997</v>
      </c>
      <c r="L458">
        <v>-87.634743</v>
      </c>
      <c r="M458" t="s">
        <v>17</v>
      </c>
      <c r="N458" s="12">
        <v>6.7592592592592591E-3</v>
      </c>
      <c r="O458">
        <v>5</v>
      </c>
      <c r="P458" t="s">
        <v>558</v>
      </c>
    </row>
    <row r="459" spans="1:16" x14ac:dyDescent="0.25">
      <c r="A459" t="s">
        <v>477</v>
      </c>
      <c r="B459" t="s">
        <v>14</v>
      </c>
      <c r="C459" s="11">
        <v>45253.414525462962</v>
      </c>
      <c r="D459" s="11">
        <v>45253.424143518518</v>
      </c>
      <c r="E459" t="s">
        <v>33</v>
      </c>
      <c r="F459" t="s">
        <v>34</v>
      </c>
      <c r="G459" t="s">
        <v>27</v>
      </c>
      <c r="H459" t="s">
        <v>28</v>
      </c>
      <c r="I459">
        <v>41.886709000000003</v>
      </c>
      <c r="J459">
        <v>-87.612820999999997</v>
      </c>
      <c r="K459">
        <v>41.888987</v>
      </c>
      <c r="L459">
        <v>-87.638824</v>
      </c>
      <c r="M459" t="s">
        <v>17</v>
      </c>
      <c r="N459" s="12">
        <v>9.618055555555555E-3</v>
      </c>
      <c r="O459">
        <v>5</v>
      </c>
      <c r="P459" t="s">
        <v>558</v>
      </c>
    </row>
    <row r="460" spans="1:16" x14ac:dyDescent="0.25">
      <c r="A460" t="s">
        <v>479</v>
      </c>
      <c r="B460" t="s">
        <v>37</v>
      </c>
      <c r="C460" s="11">
        <v>45254.435150462959</v>
      </c>
      <c r="D460" s="11">
        <v>45254.440057870372</v>
      </c>
      <c r="E460" t="s">
        <v>47</v>
      </c>
      <c r="F460" t="s">
        <v>48</v>
      </c>
      <c r="G460" t="s">
        <v>47</v>
      </c>
      <c r="H460" t="s">
        <v>48</v>
      </c>
      <c r="I460">
        <v>41.882668000000002</v>
      </c>
      <c r="J460">
        <v>-87.641547000000003</v>
      </c>
      <c r="K460">
        <v>41.882218999999999</v>
      </c>
      <c r="L460">
        <v>-87.640878000000001</v>
      </c>
      <c r="M460" t="s">
        <v>17</v>
      </c>
      <c r="N460" s="12">
        <v>4.9074074074074072E-3</v>
      </c>
      <c r="O460">
        <v>6</v>
      </c>
      <c r="P460" t="s">
        <v>559</v>
      </c>
    </row>
    <row r="461" spans="1:16" x14ac:dyDescent="0.25">
      <c r="A461" t="s">
        <v>480</v>
      </c>
      <c r="B461" t="s">
        <v>14</v>
      </c>
      <c r="C461" s="11">
        <v>45254.820532407408</v>
      </c>
      <c r="D461" s="11">
        <v>45254.827627314815</v>
      </c>
      <c r="E461" t="s">
        <v>21</v>
      </c>
      <c r="F461">
        <v>21213</v>
      </c>
      <c r="G461" t="s">
        <v>43</v>
      </c>
      <c r="H461" t="s">
        <v>44</v>
      </c>
      <c r="I461">
        <v>41.834654999999998</v>
      </c>
      <c r="J461">
        <v>-87.626285999999993</v>
      </c>
      <c r="K461">
        <v>41.903688000000002</v>
      </c>
      <c r="L461">
        <v>-87.634697000000003</v>
      </c>
      <c r="M461" t="s">
        <v>17</v>
      </c>
      <c r="N461" s="12">
        <v>7.0949074074074074E-3</v>
      </c>
      <c r="O461">
        <v>6</v>
      </c>
      <c r="P461" t="s">
        <v>559</v>
      </c>
    </row>
    <row r="462" spans="1:16" x14ac:dyDescent="0.25">
      <c r="A462" t="s">
        <v>485</v>
      </c>
      <c r="B462" t="s">
        <v>14</v>
      </c>
      <c r="C462" s="11">
        <v>45258.831064814818</v>
      </c>
      <c r="D462" s="11">
        <v>45258.834120370368</v>
      </c>
      <c r="E462" t="s">
        <v>24</v>
      </c>
      <c r="F462">
        <v>13263</v>
      </c>
      <c r="G462" t="s">
        <v>24</v>
      </c>
      <c r="H462">
        <v>13263</v>
      </c>
      <c r="I462">
        <v>41.884490999999997</v>
      </c>
      <c r="J462">
        <v>-87.619146000000001</v>
      </c>
      <c r="K462">
        <v>41.884357000000001</v>
      </c>
      <c r="L462">
        <v>-87.619300999999993</v>
      </c>
      <c r="M462" t="s">
        <v>17</v>
      </c>
      <c r="N462" s="12">
        <v>3.0555555555555557E-3</v>
      </c>
      <c r="O462">
        <v>3</v>
      </c>
      <c r="P462" t="s">
        <v>556</v>
      </c>
    </row>
    <row r="463" spans="1:16" x14ac:dyDescent="0.25">
      <c r="A463" t="s">
        <v>486</v>
      </c>
      <c r="B463" t="s">
        <v>14</v>
      </c>
      <c r="C463" s="11">
        <v>45259.251273148147</v>
      </c>
      <c r="D463" s="11">
        <v>45259.254803240743</v>
      </c>
      <c r="E463" t="s">
        <v>15</v>
      </c>
      <c r="F463">
        <v>13008</v>
      </c>
      <c r="G463" t="s">
        <v>19</v>
      </c>
      <c r="H463" t="s">
        <v>20</v>
      </c>
      <c r="I463">
        <v>41.881523999999999</v>
      </c>
      <c r="J463">
        <v>-87.623632999999998</v>
      </c>
      <c r="K463">
        <v>41.925913999999999</v>
      </c>
      <c r="L463">
        <v>-87.630796000000004</v>
      </c>
      <c r="M463" t="s">
        <v>17</v>
      </c>
      <c r="N463" s="12">
        <v>3.530092592592592E-3</v>
      </c>
      <c r="O463">
        <v>4</v>
      </c>
      <c r="P463" t="s">
        <v>557</v>
      </c>
    </row>
    <row r="464" spans="1:16" x14ac:dyDescent="0.25">
      <c r="A464" t="s">
        <v>488</v>
      </c>
      <c r="B464" t="s">
        <v>37</v>
      </c>
      <c r="C464" s="11">
        <v>45259.373391203706</v>
      </c>
      <c r="D464" s="11">
        <v>45259.38652777778</v>
      </c>
      <c r="E464" t="s">
        <v>21</v>
      </c>
      <c r="F464">
        <v>21213</v>
      </c>
      <c r="G464" t="s">
        <v>33</v>
      </c>
      <c r="H464" t="s">
        <v>34</v>
      </c>
      <c r="I464">
        <v>41.834871</v>
      </c>
      <c r="J464">
        <v>-87.626242000000005</v>
      </c>
      <c r="K464">
        <v>41.886837999999997</v>
      </c>
      <c r="L464">
        <v>-87.612778000000006</v>
      </c>
      <c r="M464" t="s">
        <v>17</v>
      </c>
      <c r="N464" s="12">
        <v>1.3136574074074077E-2</v>
      </c>
      <c r="O464">
        <v>4</v>
      </c>
      <c r="P464" t="s">
        <v>557</v>
      </c>
    </row>
    <row r="465" spans="1:16" x14ac:dyDescent="0.25">
      <c r="A465" t="s">
        <v>489</v>
      </c>
      <c r="B465" t="s">
        <v>14</v>
      </c>
      <c r="C465" s="11">
        <v>45259.638124999998</v>
      </c>
      <c r="D465" s="11">
        <v>45259.641168981485</v>
      </c>
      <c r="E465" t="s">
        <v>23</v>
      </c>
      <c r="F465">
        <v>13011</v>
      </c>
      <c r="G465" t="s">
        <v>47</v>
      </c>
      <c r="H465" t="s">
        <v>48</v>
      </c>
      <c r="I465">
        <v>41.879384000000002</v>
      </c>
      <c r="J465">
        <v>-87.640146999999999</v>
      </c>
      <c r="K465">
        <v>41.882542999999998</v>
      </c>
      <c r="L465">
        <v>-87.640934000000001</v>
      </c>
      <c r="M465" t="s">
        <v>17</v>
      </c>
      <c r="N465" s="12">
        <v>3.0439814814814821E-3</v>
      </c>
      <c r="O465">
        <v>4</v>
      </c>
      <c r="P465" t="s">
        <v>557</v>
      </c>
    </row>
    <row r="466" spans="1:16" x14ac:dyDescent="0.25">
      <c r="A466" t="s">
        <v>490</v>
      </c>
      <c r="B466" t="s">
        <v>14</v>
      </c>
      <c r="C466" s="11">
        <v>45262.244432870371</v>
      </c>
      <c r="D466" s="11">
        <v>45262.249606481484</v>
      </c>
      <c r="E466" t="s">
        <v>30</v>
      </c>
      <c r="F466">
        <v>13137</v>
      </c>
      <c r="G466" t="s">
        <v>66</v>
      </c>
      <c r="H466">
        <v>13042</v>
      </c>
      <c r="I466">
        <v>41.937657999999999</v>
      </c>
      <c r="J466">
        <v>-87.644255999999999</v>
      </c>
      <c r="K466">
        <v>41.901269999999997</v>
      </c>
      <c r="L466">
        <v>-87.624038999999996</v>
      </c>
      <c r="M466" t="s">
        <v>17</v>
      </c>
      <c r="N466" s="12">
        <v>5.1736111111111115E-3</v>
      </c>
      <c r="O466">
        <v>7</v>
      </c>
      <c r="P466" t="s">
        <v>560</v>
      </c>
    </row>
    <row r="467" spans="1:16" x14ac:dyDescent="0.25">
      <c r="A467" t="s">
        <v>491</v>
      </c>
      <c r="B467" t="s">
        <v>37</v>
      </c>
      <c r="C467" s="11">
        <v>45263.12568287037</v>
      </c>
      <c r="D467" s="11">
        <v>45263.154560185183</v>
      </c>
      <c r="E467" t="s">
        <v>21</v>
      </c>
      <c r="F467">
        <v>21213</v>
      </c>
      <c r="G467" t="s">
        <v>15</v>
      </c>
      <c r="H467">
        <v>13008</v>
      </c>
      <c r="I467">
        <v>41.835168000000003</v>
      </c>
      <c r="J467">
        <v>-87.625961000000004</v>
      </c>
      <c r="K467">
        <v>41.880633000000003</v>
      </c>
      <c r="L467">
        <v>-87.624098000000004</v>
      </c>
      <c r="M467" t="s">
        <v>17</v>
      </c>
      <c r="N467" s="12">
        <v>2.8877314814814817E-2</v>
      </c>
      <c r="O467">
        <v>1</v>
      </c>
      <c r="P467" t="s">
        <v>554</v>
      </c>
    </row>
    <row r="468" spans="1:16" x14ac:dyDescent="0.25">
      <c r="A468" t="s">
        <v>492</v>
      </c>
      <c r="B468" t="s">
        <v>37</v>
      </c>
      <c r="C468" s="11">
        <v>45263.623819444445</v>
      </c>
      <c r="D468" s="11">
        <v>45263.629074074073</v>
      </c>
      <c r="E468" t="s">
        <v>16</v>
      </c>
      <c r="F468">
        <v>13045</v>
      </c>
      <c r="G468" t="s">
        <v>30</v>
      </c>
      <c r="H468">
        <v>13137</v>
      </c>
      <c r="I468">
        <v>41.893811999999997</v>
      </c>
      <c r="J468">
        <v>-87.629379999999998</v>
      </c>
      <c r="K468">
        <v>41.937981000000001</v>
      </c>
      <c r="L468">
        <v>-87.643636000000001</v>
      </c>
      <c r="M468" t="s">
        <v>17</v>
      </c>
      <c r="N468" s="12">
        <v>5.2546296296296299E-3</v>
      </c>
      <c r="O468">
        <v>1</v>
      </c>
      <c r="P468" t="s">
        <v>554</v>
      </c>
    </row>
    <row r="469" spans="1:16" x14ac:dyDescent="0.25">
      <c r="A469" t="s">
        <v>493</v>
      </c>
      <c r="B469" t="s">
        <v>14</v>
      </c>
      <c r="C469" s="11">
        <v>45264.102546296293</v>
      </c>
      <c r="D469" s="11">
        <v>45264.106631944444</v>
      </c>
      <c r="E469" t="s">
        <v>19</v>
      </c>
      <c r="F469" t="s">
        <v>20</v>
      </c>
      <c r="G469" t="s">
        <v>19</v>
      </c>
      <c r="H469" t="s">
        <v>20</v>
      </c>
      <c r="I469">
        <v>41.926774000000002</v>
      </c>
      <c r="J469">
        <v>-87.630831999999998</v>
      </c>
      <c r="K469">
        <v>41.926372000000001</v>
      </c>
      <c r="L469">
        <v>-87.631266999999994</v>
      </c>
      <c r="M469" t="s">
        <v>17</v>
      </c>
      <c r="N469" s="12">
        <v>4.0856481481481481E-3</v>
      </c>
      <c r="O469">
        <v>2</v>
      </c>
      <c r="P469" t="s">
        <v>555</v>
      </c>
    </row>
    <row r="470" spans="1:16" x14ac:dyDescent="0.25">
      <c r="A470" t="s">
        <v>494</v>
      </c>
      <c r="B470" t="s">
        <v>14</v>
      </c>
      <c r="C470" s="11">
        <v>45264.776597222219</v>
      </c>
      <c r="D470" s="11">
        <v>45264.785069444442</v>
      </c>
      <c r="E470" t="s">
        <v>30</v>
      </c>
      <c r="F470">
        <v>13137</v>
      </c>
      <c r="G470" t="s">
        <v>16</v>
      </c>
      <c r="H470">
        <v>13045</v>
      </c>
      <c r="I470">
        <v>41.937595999999999</v>
      </c>
      <c r="J470">
        <v>-87.644345000000001</v>
      </c>
      <c r="K470">
        <v>41.894480000000001</v>
      </c>
      <c r="L470">
        <v>-87.629526999999996</v>
      </c>
      <c r="M470" t="s">
        <v>17</v>
      </c>
      <c r="N470" s="12">
        <v>8.4722222222222213E-3</v>
      </c>
      <c r="O470">
        <v>2</v>
      </c>
      <c r="P470" t="s">
        <v>555</v>
      </c>
    </row>
    <row r="471" spans="1:16" x14ac:dyDescent="0.25">
      <c r="A471" t="s">
        <v>495</v>
      </c>
      <c r="B471" t="s">
        <v>14</v>
      </c>
      <c r="C471" s="11">
        <v>45264.903865740744</v>
      </c>
      <c r="D471" s="11">
        <v>45264.915439814817</v>
      </c>
      <c r="E471" t="s">
        <v>15</v>
      </c>
      <c r="F471">
        <v>13008</v>
      </c>
      <c r="G471" t="s">
        <v>35</v>
      </c>
      <c r="H471">
        <v>13022</v>
      </c>
      <c r="I471">
        <v>41.881025999999999</v>
      </c>
      <c r="J471">
        <v>-87.624404999999996</v>
      </c>
      <c r="K471">
        <v>41.892144000000002</v>
      </c>
      <c r="L471">
        <v>-87.611799000000005</v>
      </c>
      <c r="M471" t="s">
        <v>17</v>
      </c>
      <c r="N471" s="12">
        <v>1.1574074074074075E-2</v>
      </c>
      <c r="O471">
        <v>2</v>
      </c>
      <c r="P471" t="s">
        <v>555</v>
      </c>
    </row>
    <row r="472" spans="1:16" x14ac:dyDescent="0.25">
      <c r="A472" t="s">
        <v>498</v>
      </c>
      <c r="B472" t="s">
        <v>37</v>
      </c>
      <c r="C472" s="11">
        <v>45266.41988425926</v>
      </c>
      <c r="D472" s="11">
        <v>45266.42832175926</v>
      </c>
      <c r="E472" t="s">
        <v>24</v>
      </c>
      <c r="F472">
        <v>13263</v>
      </c>
      <c r="G472" t="s">
        <v>24</v>
      </c>
      <c r="H472">
        <v>13263</v>
      </c>
      <c r="I472">
        <v>41.884829000000003</v>
      </c>
      <c r="J472">
        <v>-87.619680000000002</v>
      </c>
      <c r="K472">
        <v>41.885145000000001</v>
      </c>
      <c r="L472">
        <v>-87.619613999999999</v>
      </c>
      <c r="M472" t="s">
        <v>17</v>
      </c>
      <c r="N472" s="12">
        <v>8.4375000000000006E-3</v>
      </c>
      <c r="O472">
        <v>4</v>
      </c>
      <c r="P472" t="s">
        <v>557</v>
      </c>
    </row>
    <row r="473" spans="1:16" x14ac:dyDescent="0.25">
      <c r="A473" t="s">
        <v>499</v>
      </c>
      <c r="B473" t="s">
        <v>14</v>
      </c>
      <c r="C473" s="11">
        <v>45267.348460648151</v>
      </c>
      <c r="D473" s="11">
        <v>45267.352731481478</v>
      </c>
      <c r="E473" t="s">
        <v>33</v>
      </c>
      <c r="F473" t="s">
        <v>34</v>
      </c>
      <c r="G473" t="s">
        <v>66</v>
      </c>
      <c r="H473">
        <v>13042</v>
      </c>
      <c r="I473">
        <v>41.887127</v>
      </c>
      <c r="J473">
        <v>-87.612768000000003</v>
      </c>
      <c r="K473">
        <v>41.900522000000002</v>
      </c>
      <c r="L473">
        <v>-87.623763999999994</v>
      </c>
      <c r="M473" t="s">
        <v>17</v>
      </c>
      <c r="N473" s="12">
        <v>4.2708333333333339E-3</v>
      </c>
      <c r="O473">
        <v>5</v>
      </c>
      <c r="P473" t="s">
        <v>558</v>
      </c>
    </row>
    <row r="474" spans="1:16" x14ac:dyDescent="0.25">
      <c r="A474" t="s">
        <v>500</v>
      </c>
      <c r="B474" t="s">
        <v>14</v>
      </c>
      <c r="C474" s="11">
        <v>45268.545034722221</v>
      </c>
      <c r="D474" s="11">
        <v>45268.547974537039</v>
      </c>
      <c r="E474" t="s">
        <v>19</v>
      </c>
      <c r="F474" t="s">
        <v>20</v>
      </c>
      <c r="G474" t="s">
        <v>41</v>
      </c>
      <c r="H474" t="s">
        <v>42</v>
      </c>
      <c r="I474">
        <v>41.926299</v>
      </c>
      <c r="J474">
        <v>-87.630564000000007</v>
      </c>
      <c r="K474">
        <v>41.902689000000002</v>
      </c>
      <c r="L474">
        <v>-87.631157000000002</v>
      </c>
      <c r="M474" t="s">
        <v>17</v>
      </c>
      <c r="N474" s="12">
        <v>2.9398148148148148E-3</v>
      </c>
      <c r="O474">
        <v>6</v>
      </c>
      <c r="P474" t="s">
        <v>559</v>
      </c>
    </row>
    <row r="475" spans="1:16" x14ac:dyDescent="0.25">
      <c r="A475" t="s">
        <v>502</v>
      </c>
      <c r="B475" t="s">
        <v>14</v>
      </c>
      <c r="C475" s="11">
        <v>45269.664236111108</v>
      </c>
      <c r="D475" s="11">
        <v>45269.66746527778</v>
      </c>
      <c r="E475" t="s">
        <v>35</v>
      </c>
      <c r="F475">
        <v>13022</v>
      </c>
      <c r="G475" t="s">
        <v>33</v>
      </c>
      <c r="H475" t="s">
        <v>34</v>
      </c>
      <c r="I475">
        <v>41.891879000000003</v>
      </c>
      <c r="J475">
        <v>-87.61215</v>
      </c>
      <c r="K475">
        <v>41.887093</v>
      </c>
      <c r="L475">
        <v>-87.612452000000005</v>
      </c>
      <c r="M475" t="s">
        <v>17</v>
      </c>
      <c r="N475" s="12">
        <v>3.2291666666666666E-3</v>
      </c>
      <c r="O475">
        <v>7</v>
      </c>
      <c r="P475" t="s">
        <v>560</v>
      </c>
    </row>
    <row r="476" spans="1:16" x14ac:dyDescent="0.25">
      <c r="A476" t="s">
        <v>505</v>
      </c>
      <c r="B476" t="s">
        <v>14</v>
      </c>
      <c r="C476" s="11">
        <v>45270.492303240739</v>
      </c>
      <c r="D476" s="11">
        <v>45270.503796296296</v>
      </c>
      <c r="E476" t="s">
        <v>30</v>
      </c>
      <c r="F476">
        <v>13137</v>
      </c>
      <c r="G476" t="s">
        <v>21</v>
      </c>
      <c r="H476">
        <v>21213</v>
      </c>
      <c r="I476">
        <v>41.937721000000003</v>
      </c>
      <c r="J476">
        <v>-87.644457000000003</v>
      </c>
      <c r="K476">
        <v>41.835155</v>
      </c>
      <c r="L476">
        <v>-87.626219000000006</v>
      </c>
      <c r="M476" t="s">
        <v>17</v>
      </c>
      <c r="N476" s="12">
        <v>1.1493055555555555E-2</v>
      </c>
      <c r="O476">
        <v>1</v>
      </c>
      <c r="P476" t="s">
        <v>554</v>
      </c>
    </row>
    <row r="477" spans="1:16" x14ac:dyDescent="0.25">
      <c r="A477" t="s">
        <v>508</v>
      </c>
      <c r="B477" t="s">
        <v>37</v>
      </c>
      <c r="C477" s="11">
        <v>45275.20453703704</v>
      </c>
      <c r="D477" s="11">
        <v>45275.209699074076</v>
      </c>
      <c r="E477" t="s">
        <v>24</v>
      </c>
      <c r="F477">
        <v>13263</v>
      </c>
      <c r="G477" t="s">
        <v>24</v>
      </c>
      <c r="H477">
        <v>13263</v>
      </c>
      <c r="I477">
        <v>41.884580999999997</v>
      </c>
      <c r="J477">
        <v>-87.619715999999997</v>
      </c>
      <c r="K477">
        <v>41.884393000000003</v>
      </c>
      <c r="L477">
        <v>-87.619487000000007</v>
      </c>
      <c r="M477" t="s">
        <v>17</v>
      </c>
      <c r="N477" s="12">
        <v>5.162037037037037E-3</v>
      </c>
      <c r="O477">
        <v>6</v>
      </c>
      <c r="P477" t="s">
        <v>559</v>
      </c>
    </row>
    <row r="478" spans="1:16" x14ac:dyDescent="0.25">
      <c r="A478" t="s">
        <v>509</v>
      </c>
      <c r="B478" t="s">
        <v>14</v>
      </c>
      <c r="C478" s="11">
        <v>45280.157789351855</v>
      </c>
      <c r="D478" s="11">
        <v>45280.162291666667</v>
      </c>
      <c r="E478" t="s">
        <v>23</v>
      </c>
      <c r="F478">
        <v>13011</v>
      </c>
      <c r="G478" t="s">
        <v>24</v>
      </c>
      <c r="H478">
        <v>13263</v>
      </c>
      <c r="I478">
        <v>41.879109999999997</v>
      </c>
      <c r="J478">
        <v>-87.640002999999993</v>
      </c>
      <c r="K478">
        <v>41.884343000000001</v>
      </c>
      <c r="L478">
        <v>-87.619138000000007</v>
      </c>
      <c r="M478" t="s">
        <v>17</v>
      </c>
      <c r="N478" s="12">
        <v>4.5023148148148149E-3</v>
      </c>
      <c r="O478">
        <v>4</v>
      </c>
      <c r="P478" t="s">
        <v>557</v>
      </c>
    </row>
    <row r="479" spans="1:16" x14ac:dyDescent="0.25">
      <c r="A479" t="s">
        <v>510</v>
      </c>
      <c r="B479" t="s">
        <v>37</v>
      </c>
      <c r="C479" s="11">
        <v>45280.468368055554</v>
      </c>
      <c r="D479" s="11">
        <v>45280.47855324074</v>
      </c>
      <c r="E479" t="s">
        <v>27</v>
      </c>
      <c r="F479" t="s">
        <v>28</v>
      </c>
      <c r="G479" t="s">
        <v>27</v>
      </c>
      <c r="H479" t="s">
        <v>28</v>
      </c>
      <c r="I479">
        <v>41.889567</v>
      </c>
      <c r="J479">
        <v>-87.638993999999997</v>
      </c>
      <c r="K479">
        <v>41.889046999999998</v>
      </c>
      <c r="L479">
        <v>-87.638979000000006</v>
      </c>
      <c r="M479" t="s">
        <v>17</v>
      </c>
      <c r="N479" s="12">
        <v>1.0185185185185184E-2</v>
      </c>
      <c r="O479">
        <v>4</v>
      </c>
      <c r="P479" t="s">
        <v>557</v>
      </c>
    </row>
    <row r="480" spans="1:16" x14ac:dyDescent="0.25">
      <c r="A480" t="s">
        <v>511</v>
      </c>
      <c r="B480" t="s">
        <v>37</v>
      </c>
      <c r="C480" s="11">
        <v>45281.509884259256</v>
      </c>
      <c r="D480" s="11">
        <v>45281.514282407406</v>
      </c>
      <c r="E480" t="s">
        <v>19</v>
      </c>
      <c r="F480" t="s">
        <v>20</v>
      </c>
      <c r="G480" t="s">
        <v>21</v>
      </c>
      <c r="H480">
        <v>21213</v>
      </c>
      <c r="I480">
        <v>41.926473000000001</v>
      </c>
      <c r="J480">
        <v>-87.630390000000006</v>
      </c>
      <c r="K480">
        <v>41.835230000000003</v>
      </c>
      <c r="L480">
        <v>-87.625862999999995</v>
      </c>
      <c r="M480" t="s">
        <v>17</v>
      </c>
      <c r="N480" s="12">
        <v>4.3981481481481484E-3</v>
      </c>
      <c r="O480">
        <v>5</v>
      </c>
      <c r="P480" t="s">
        <v>558</v>
      </c>
    </row>
    <row r="481" spans="1:16" x14ac:dyDescent="0.25">
      <c r="A481" t="s">
        <v>512</v>
      </c>
      <c r="B481" t="s">
        <v>37</v>
      </c>
      <c r="C481" s="11">
        <v>45281.868009259262</v>
      </c>
      <c r="D481" s="11">
        <v>45281.883298611108</v>
      </c>
      <c r="E481" t="s">
        <v>15</v>
      </c>
      <c r="F481">
        <v>13008</v>
      </c>
      <c r="G481" t="s">
        <v>15</v>
      </c>
      <c r="H481">
        <v>13008</v>
      </c>
      <c r="I481">
        <v>41.881397999999997</v>
      </c>
      <c r="J481">
        <v>-87.624139999999997</v>
      </c>
      <c r="K481">
        <v>41.880668999999997</v>
      </c>
      <c r="L481">
        <v>-87.623722000000001</v>
      </c>
      <c r="M481" t="s">
        <v>17</v>
      </c>
      <c r="N481" s="12">
        <v>1.5289351851851851E-2</v>
      </c>
      <c r="O481">
        <v>5</v>
      </c>
      <c r="P481" t="s">
        <v>558</v>
      </c>
    </row>
    <row r="482" spans="1:16" x14ac:dyDescent="0.25">
      <c r="A482" t="s">
        <v>513</v>
      </c>
      <c r="B482" t="s">
        <v>37</v>
      </c>
      <c r="C482" s="11">
        <v>45282.200266203705</v>
      </c>
      <c r="D482" s="11">
        <v>45282.203599537039</v>
      </c>
      <c r="E482" t="s">
        <v>15</v>
      </c>
      <c r="F482">
        <v>13008</v>
      </c>
      <c r="G482" t="s">
        <v>47</v>
      </c>
      <c r="H482" t="s">
        <v>48</v>
      </c>
      <c r="I482">
        <v>41.880786000000001</v>
      </c>
      <c r="J482">
        <v>-87.623942</v>
      </c>
      <c r="K482">
        <v>41.882018000000002</v>
      </c>
      <c r="L482">
        <v>-87.641070999999997</v>
      </c>
      <c r="M482" t="s">
        <v>17</v>
      </c>
      <c r="N482" s="12">
        <v>3.3333333333333335E-3</v>
      </c>
      <c r="O482">
        <v>6</v>
      </c>
      <c r="P482" t="s">
        <v>559</v>
      </c>
    </row>
    <row r="483" spans="1:16" x14ac:dyDescent="0.25">
      <c r="A483" t="s">
        <v>516</v>
      </c>
      <c r="B483" t="s">
        <v>14</v>
      </c>
      <c r="C483" s="11">
        <v>45284.19222222222</v>
      </c>
      <c r="D483" s="11">
        <v>45284.196666666663</v>
      </c>
      <c r="E483" t="s">
        <v>57</v>
      </c>
      <c r="F483" t="s">
        <v>58</v>
      </c>
      <c r="G483" t="s">
        <v>19</v>
      </c>
      <c r="H483" t="s">
        <v>20</v>
      </c>
      <c r="I483">
        <v>41.912478999999998</v>
      </c>
      <c r="J483">
        <v>-87.634463999999994</v>
      </c>
      <c r="K483">
        <v>41.926206999999998</v>
      </c>
      <c r="L483">
        <v>-87.630661000000003</v>
      </c>
      <c r="M483" t="s">
        <v>17</v>
      </c>
      <c r="N483" s="12">
        <v>4.4444444444444444E-3</v>
      </c>
      <c r="O483">
        <v>1</v>
      </c>
      <c r="P483" t="s">
        <v>554</v>
      </c>
    </row>
    <row r="484" spans="1:16" x14ac:dyDescent="0.25">
      <c r="A484" t="s">
        <v>517</v>
      </c>
      <c r="B484" t="s">
        <v>14</v>
      </c>
      <c r="C484" s="11">
        <v>45285.096226851849</v>
      </c>
      <c r="D484" s="11">
        <v>45285.105405092596</v>
      </c>
      <c r="E484" t="s">
        <v>23</v>
      </c>
      <c r="F484">
        <v>13011</v>
      </c>
      <c r="G484" t="s">
        <v>33</v>
      </c>
      <c r="H484" t="s">
        <v>34</v>
      </c>
      <c r="I484">
        <v>41.878760999999997</v>
      </c>
      <c r="J484">
        <v>-87.640303000000003</v>
      </c>
      <c r="K484">
        <v>41.887345000000003</v>
      </c>
      <c r="L484">
        <v>-87.612630999999993</v>
      </c>
      <c r="M484" t="s">
        <v>17</v>
      </c>
      <c r="N484" s="12">
        <v>9.1782407407407403E-3</v>
      </c>
      <c r="O484">
        <v>2</v>
      </c>
      <c r="P484" t="s">
        <v>555</v>
      </c>
    </row>
    <row r="485" spans="1:16" x14ac:dyDescent="0.25">
      <c r="A485" t="s">
        <v>518</v>
      </c>
      <c r="B485" t="s">
        <v>14</v>
      </c>
      <c r="C485" s="11">
        <v>45285.164861111109</v>
      </c>
      <c r="D485" s="11">
        <v>45285.185081018521</v>
      </c>
      <c r="E485" t="s">
        <v>35</v>
      </c>
      <c r="F485">
        <v>13022</v>
      </c>
      <c r="G485" t="s">
        <v>19</v>
      </c>
      <c r="H485" t="s">
        <v>20</v>
      </c>
      <c r="I485">
        <v>41.89188</v>
      </c>
      <c r="J485">
        <v>-87.611632</v>
      </c>
      <c r="K485">
        <v>41.926597999999998</v>
      </c>
      <c r="L485">
        <v>-87.630573999999996</v>
      </c>
      <c r="M485" t="s">
        <v>17</v>
      </c>
      <c r="N485" s="12">
        <v>2.0219907407407409E-2</v>
      </c>
      <c r="O485">
        <v>2</v>
      </c>
      <c r="P485" t="s">
        <v>555</v>
      </c>
    </row>
    <row r="486" spans="1:16" x14ac:dyDescent="0.25">
      <c r="A486" t="s">
        <v>519</v>
      </c>
      <c r="B486" t="s">
        <v>37</v>
      </c>
      <c r="C486" s="11">
        <v>45285.174317129633</v>
      </c>
      <c r="D486" s="11">
        <v>45285.177233796298</v>
      </c>
      <c r="E486" t="s">
        <v>30</v>
      </c>
      <c r="F486">
        <v>13137</v>
      </c>
      <c r="G486" t="s">
        <v>23</v>
      </c>
      <c r="H486">
        <v>13011</v>
      </c>
      <c r="I486">
        <v>41.937944999999999</v>
      </c>
      <c r="J486">
        <v>-87.644197000000005</v>
      </c>
      <c r="K486">
        <v>41.879047999999997</v>
      </c>
      <c r="L486">
        <v>-87.640252000000004</v>
      </c>
      <c r="M486" t="s">
        <v>17</v>
      </c>
      <c r="N486" s="12">
        <v>2.9166666666666668E-3</v>
      </c>
      <c r="O486">
        <v>2</v>
      </c>
      <c r="P486" t="s">
        <v>555</v>
      </c>
    </row>
    <row r="487" spans="1:16" x14ac:dyDescent="0.25">
      <c r="A487" t="s">
        <v>520</v>
      </c>
      <c r="B487" t="s">
        <v>37</v>
      </c>
      <c r="C487" s="11">
        <v>45285.789594907408</v>
      </c>
      <c r="D487" s="11">
        <v>45285.797569444447</v>
      </c>
      <c r="E487" t="s">
        <v>23</v>
      </c>
      <c r="F487">
        <v>13011</v>
      </c>
      <c r="G487" t="s">
        <v>15</v>
      </c>
      <c r="H487">
        <v>13008</v>
      </c>
      <c r="I487">
        <v>41.879159999999999</v>
      </c>
      <c r="J487">
        <v>-87.640400999999997</v>
      </c>
      <c r="K487">
        <v>41.881382000000002</v>
      </c>
      <c r="L487">
        <v>-87.624202999999994</v>
      </c>
      <c r="M487" t="s">
        <v>17</v>
      </c>
      <c r="N487" s="12">
        <v>7.9745370370370369E-3</v>
      </c>
      <c r="O487">
        <v>2</v>
      </c>
      <c r="P487" t="s">
        <v>555</v>
      </c>
    </row>
    <row r="488" spans="1:16" x14ac:dyDescent="0.25">
      <c r="A488" t="s">
        <v>521</v>
      </c>
      <c r="B488" t="s">
        <v>37</v>
      </c>
      <c r="C488" s="11">
        <v>45285.884814814817</v>
      </c>
      <c r="D488" s="11">
        <v>45285.897604166668</v>
      </c>
      <c r="E488" t="s">
        <v>16</v>
      </c>
      <c r="F488">
        <v>13045</v>
      </c>
      <c r="G488" t="s">
        <v>66</v>
      </c>
      <c r="H488">
        <v>13042</v>
      </c>
      <c r="I488">
        <v>41.893523000000002</v>
      </c>
      <c r="J488">
        <v>-87.629182</v>
      </c>
      <c r="K488">
        <v>41.900773999999998</v>
      </c>
      <c r="L488">
        <v>-87.623767999999998</v>
      </c>
      <c r="M488" t="s">
        <v>17</v>
      </c>
      <c r="N488" s="12">
        <v>1.2789351851851852E-2</v>
      </c>
      <c r="O488">
        <v>2</v>
      </c>
      <c r="P488" t="s">
        <v>555</v>
      </c>
    </row>
    <row r="489" spans="1:16" x14ac:dyDescent="0.25">
      <c r="A489" t="s">
        <v>523</v>
      </c>
      <c r="B489" t="s">
        <v>14</v>
      </c>
      <c r="C489" s="11">
        <v>45288.104594907411</v>
      </c>
      <c r="D489" s="11">
        <v>45288.10765046296</v>
      </c>
      <c r="E489" t="s">
        <v>33</v>
      </c>
      <c r="F489" t="s">
        <v>34</v>
      </c>
      <c r="G489" t="s">
        <v>23</v>
      </c>
      <c r="H489">
        <v>13011</v>
      </c>
      <c r="I489">
        <v>41.887079999999997</v>
      </c>
      <c r="J489">
        <v>-87.612405999999993</v>
      </c>
      <c r="K489">
        <v>41.878993999999999</v>
      </c>
      <c r="L489">
        <v>-87.639933999999997</v>
      </c>
      <c r="M489" t="s">
        <v>17</v>
      </c>
      <c r="N489" s="12">
        <v>3.0555555555555557E-3</v>
      </c>
      <c r="O489">
        <v>5</v>
      </c>
      <c r="P489" t="s">
        <v>558</v>
      </c>
    </row>
    <row r="490" spans="1:16" x14ac:dyDescent="0.25">
      <c r="A490" t="s">
        <v>524</v>
      </c>
      <c r="B490" t="s">
        <v>37</v>
      </c>
      <c r="C490" s="11">
        <v>45288.303946759261</v>
      </c>
      <c r="D490" s="11">
        <v>45288.309421296297</v>
      </c>
      <c r="E490" t="s">
        <v>47</v>
      </c>
      <c r="F490" t="s">
        <v>48</v>
      </c>
      <c r="G490" t="s">
        <v>15</v>
      </c>
      <c r="H490">
        <v>13008</v>
      </c>
      <c r="I490">
        <v>41.882443000000002</v>
      </c>
      <c r="J490">
        <v>-87.641452999999998</v>
      </c>
      <c r="K490">
        <v>41.881529</v>
      </c>
      <c r="L490">
        <v>-87.624401000000006</v>
      </c>
      <c r="M490" t="s">
        <v>17</v>
      </c>
      <c r="N490" s="12">
        <v>5.4745370370370373E-3</v>
      </c>
      <c r="O490">
        <v>5</v>
      </c>
      <c r="P490" t="s">
        <v>558</v>
      </c>
    </row>
    <row r="491" spans="1:16" x14ac:dyDescent="0.25">
      <c r="A491" t="s">
        <v>525</v>
      </c>
      <c r="B491" t="s">
        <v>14</v>
      </c>
      <c r="C491" s="11">
        <v>45288.350972222222</v>
      </c>
      <c r="D491" s="11">
        <v>45288.366759259261</v>
      </c>
      <c r="E491" t="s">
        <v>66</v>
      </c>
      <c r="F491">
        <v>13042</v>
      </c>
      <c r="G491" t="s">
        <v>66</v>
      </c>
      <c r="H491">
        <v>13042</v>
      </c>
      <c r="I491">
        <v>41.901271000000001</v>
      </c>
      <c r="J491">
        <v>-87.623641000000006</v>
      </c>
      <c r="K491">
        <v>41.900848000000003</v>
      </c>
      <c r="L491">
        <v>-87.623603000000003</v>
      </c>
      <c r="M491" t="s">
        <v>17</v>
      </c>
      <c r="N491" s="12">
        <v>1.5787037037037037E-2</v>
      </c>
      <c r="O491">
        <v>5</v>
      </c>
      <c r="P491" t="s">
        <v>558</v>
      </c>
    </row>
    <row r="492" spans="1:16" x14ac:dyDescent="0.25">
      <c r="A492" t="s">
        <v>526</v>
      </c>
      <c r="B492" t="s">
        <v>14</v>
      </c>
      <c r="C492" s="11">
        <v>45288.551134259258</v>
      </c>
      <c r="D492" s="11">
        <v>45288.556550925925</v>
      </c>
      <c r="E492" t="s">
        <v>41</v>
      </c>
      <c r="F492" t="s">
        <v>42</v>
      </c>
      <c r="G492" t="s">
        <v>19</v>
      </c>
      <c r="H492" t="s">
        <v>20</v>
      </c>
      <c r="I492">
        <v>41.903025999999997</v>
      </c>
      <c r="J492">
        <v>-87.631276999999997</v>
      </c>
      <c r="K492">
        <v>41.925970999999997</v>
      </c>
      <c r="L492">
        <v>-87.630475000000004</v>
      </c>
      <c r="M492" t="s">
        <v>17</v>
      </c>
      <c r="N492" s="12">
        <v>5.4166666666666669E-3</v>
      </c>
      <c r="O492">
        <v>5</v>
      </c>
      <c r="P492" t="s">
        <v>558</v>
      </c>
    </row>
    <row r="493" spans="1:16" x14ac:dyDescent="0.25">
      <c r="A493" t="s">
        <v>527</v>
      </c>
      <c r="B493" t="s">
        <v>37</v>
      </c>
      <c r="C493" s="11">
        <v>45289.173090277778</v>
      </c>
      <c r="D493" s="11">
        <v>45289.190254629626</v>
      </c>
      <c r="E493" t="s">
        <v>41</v>
      </c>
      <c r="F493" t="s">
        <v>42</v>
      </c>
      <c r="G493" t="s">
        <v>15</v>
      </c>
      <c r="H493">
        <v>13008</v>
      </c>
      <c r="I493">
        <v>41.902571999999999</v>
      </c>
      <c r="J493">
        <v>-87.631378999999995</v>
      </c>
      <c r="K493">
        <v>41.881332</v>
      </c>
      <c r="L493">
        <v>-87.624380000000002</v>
      </c>
      <c r="M493" t="s">
        <v>17</v>
      </c>
      <c r="N493" s="12">
        <v>1.7164351851851851E-2</v>
      </c>
      <c r="O493">
        <v>6</v>
      </c>
      <c r="P493" t="s">
        <v>559</v>
      </c>
    </row>
    <row r="494" spans="1:16" x14ac:dyDescent="0.25">
      <c r="A494" t="s">
        <v>528</v>
      </c>
      <c r="B494" t="s">
        <v>14</v>
      </c>
      <c r="C494" s="11">
        <v>45289.469317129631</v>
      </c>
      <c r="D494" s="11">
        <v>45289.476331018515</v>
      </c>
      <c r="E494" t="s">
        <v>19</v>
      </c>
      <c r="F494" t="s">
        <v>20</v>
      </c>
      <c r="G494" t="s">
        <v>33</v>
      </c>
      <c r="H494" t="s">
        <v>34</v>
      </c>
      <c r="I494">
        <v>41.926509000000003</v>
      </c>
      <c r="J494">
        <v>-87.630786000000001</v>
      </c>
      <c r="K494">
        <v>41.886603999999998</v>
      </c>
      <c r="L494">
        <v>-87.612431000000001</v>
      </c>
      <c r="M494" t="s">
        <v>17</v>
      </c>
      <c r="N494" s="12">
        <v>7.013888888888889E-3</v>
      </c>
      <c r="O494">
        <v>6</v>
      </c>
      <c r="P494" t="s">
        <v>559</v>
      </c>
    </row>
    <row r="495" spans="1:16" x14ac:dyDescent="0.25">
      <c r="A495" t="s">
        <v>529</v>
      </c>
      <c r="B495" t="s">
        <v>37</v>
      </c>
      <c r="C495" s="11">
        <v>45289.598379629628</v>
      </c>
      <c r="D495" s="11">
        <v>45289.605740740742</v>
      </c>
      <c r="E495" t="s">
        <v>35</v>
      </c>
      <c r="F495">
        <v>13022</v>
      </c>
      <c r="G495" t="s">
        <v>30</v>
      </c>
      <c r="H495">
        <v>13137</v>
      </c>
      <c r="I495">
        <v>41.892310000000002</v>
      </c>
      <c r="J495">
        <v>-87.611662999999993</v>
      </c>
      <c r="K495">
        <v>41.937657000000002</v>
      </c>
      <c r="L495">
        <v>-87.644568000000007</v>
      </c>
      <c r="M495" t="s">
        <v>17</v>
      </c>
      <c r="N495" s="12">
        <v>7.3611111111111108E-3</v>
      </c>
      <c r="O495">
        <v>6</v>
      </c>
      <c r="P495" t="s">
        <v>559</v>
      </c>
    </row>
    <row r="496" spans="1:16" x14ac:dyDescent="0.25">
      <c r="A496" t="s">
        <v>530</v>
      </c>
      <c r="B496" t="s">
        <v>14</v>
      </c>
      <c r="C496" s="11">
        <v>45289.901990740742</v>
      </c>
      <c r="D496" s="11">
        <v>45289.91269675926</v>
      </c>
      <c r="E496" t="s">
        <v>47</v>
      </c>
      <c r="F496" t="s">
        <v>48</v>
      </c>
      <c r="G496" t="s">
        <v>30</v>
      </c>
      <c r="H496">
        <v>13137</v>
      </c>
      <c r="I496">
        <v>41.882179000000001</v>
      </c>
      <c r="J496">
        <v>-87.640649999999994</v>
      </c>
      <c r="K496">
        <v>41.937804</v>
      </c>
      <c r="L496">
        <v>-87.643987999999993</v>
      </c>
      <c r="M496" t="s">
        <v>17</v>
      </c>
      <c r="N496" s="12">
        <v>1.0706018518518517E-2</v>
      </c>
      <c r="O496">
        <v>6</v>
      </c>
      <c r="P496" t="s">
        <v>559</v>
      </c>
    </row>
    <row r="497" spans="1:16" x14ac:dyDescent="0.25">
      <c r="A497" t="s">
        <v>532</v>
      </c>
      <c r="B497" t="s">
        <v>37</v>
      </c>
      <c r="C497" s="11">
        <v>45290.650231481479</v>
      </c>
      <c r="D497" s="11">
        <v>45290.655335648145</v>
      </c>
      <c r="E497" t="s">
        <v>66</v>
      </c>
      <c r="F497">
        <v>13042</v>
      </c>
      <c r="G497" t="s">
        <v>24</v>
      </c>
      <c r="H497">
        <v>13263</v>
      </c>
      <c r="I497">
        <v>41.900633999999997</v>
      </c>
      <c r="J497">
        <v>-87.623564999999999</v>
      </c>
      <c r="K497">
        <v>41.885053999999997</v>
      </c>
      <c r="L497">
        <v>-87.619919999999993</v>
      </c>
      <c r="M497" t="s">
        <v>17</v>
      </c>
      <c r="N497" s="12">
        <v>5.1041666666666666E-3</v>
      </c>
      <c r="O497">
        <v>7</v>
      </c>
      <c r="P497" t="s">
        <v>560</v>
      </c>
    </row>
    <row r="498" spans="1:16" x14ac:dyDescent="0.25">
      <c r="A498" t="s">
        <v>533</v>
      </c>
      <c r="B498" t="s">
        <v>37</v>
      </c>
      <c r="C498" s="11">
        <v>45290.863078703704</v>
      </c>
      <c r="D498" s="11">
        <v>45290.868217592593</v>
      </c>
      <c r="E498" t="s">
        <v>57</v>
      </c>
      <c r="F498" t="s">
        <v>58</v>
      </c>
      <c r="G498" t="s">
        <v>57</v>
      </c>
      <c r="H498" t="s">
        <v>58</v>
      </c>
      <c r="I498">
        <v>41.911667000000001</v>
      </c>
      <c r="J498">
        <v>-87.634844999999999</v>
      </c>
      <c r="K498">
        <v>41.912413000000001</v>
      </c>
      <c r="L498">
        <v>-87.634878</v>
      </c>
      <c r="M498" t="s">
        <v>17</v>
      </c>
      <c r="N498" s="12">
        <v>5.138888888888889E-3</v>
      </c>
      <c r="O498">
        <v>7</v>
      </c>
      <c r="P498" t="s">
        <v>560</v>
      </c>
    </row>
    <row r="499" spans="1:16" x14ac:dyDescent="0.25">
      <c r="A499" t="s">
        <v>534</v>
      </c>
      <c r="B499" t="s">
        <v>26</v>
      </c>
      <c r="C499" s="11">
        <v>45290.982094907406</v>
      </c>
      <c r="D499" s="11">
        <v>45290.990543981483</v>
      </c>
      <c r="E499" t="s">
        <v>57</v>
      </c>
      <c r="F499" t="s">
        <v>58</v>
      </c>
      <c r="G499" t="s">
        <v>16</v>
      </c>
      <c r="H499">
        <v>13045</v>
      </c>
      <c r="I499">
        <v>41.912356000000003</v>
      </c>
      <c r="J499">
        <v>-87.635019999999997</v>
      </c>
      <c r="K499">
        <v>41.894328000000002</v>
      </c>
      <c r="L499">
        <v>-87.629662999999994</v>
      </c>
      <c r="M499" t="s">
        <v>17</v>
      </c>
      <c r="N499" s="12">
        <v>8.4490740740740741E-3</v>
      </c>
      <c r="O499">
        <v>7</v>
      </c>
      <c r="P499" t="s">
        <v>560</v>
      </c>
    </row>
    <row r="500" spans="1:16" x14ac:dyDescent="0.25">
      <c r="A500" t="s">
        <v>535</v>
      </c>
      <c r="B500" t="s">
        <v>14</v>
      </c>
      <c r="C500" s="11">
        <v>45291.170578703706</v>
      </c>
      <c r="D500" s="11">
        <v>45291.177812499998</v>
      </c>
      <c r="E500" t="s">
        <v>66</v>
      </c>
      <c r="F500">
        <v>13042</v>
      </c>
      <c r="G500" t="s">
        <v>66</v>
      </c>
      <c r="H500">
        <v>13042</v>
      </c>
      <c r="I500">
        <v>41.900953000000001</v>
      </c>
      <c r="J500">
        <v>-87.624266000000006</v>
      </c>
      <c r="K500">
        <v>41.900928999999998</v>
      </c>
      <c r="L500">
        <v>-87.624221000000006</v>
      </c>
      <c r="M500" t="s">
        <v>17</v>
      </c>
      <c r="N500" s="12">
        <v>7.2337962962962963E-3</v>
      </c>
      <c r="O500">
        <v>1</v>
      </c>
      <c r="P500" t="s">
        <v>554</v>
      </c>
    </row>
    <row r="501" spans="1:16" x14ac:dyDescent="0.25">
      <c r="A501" t="s">
        <v>537</v>
      </c>
      <c r="B501" t="s">
        <v>14</v>
      </c>
      <c r="C501" s="11">
        <v>45292.073819444442</v>
      </c>
      <c r="D501" s="11">
        <v>45292.078761574077</v>
      </c>
      <c r="E501" t="s">
        <v>16</v>
      </c>
      <c r="F501">
        <v>13045</v>
      </c>
      <c r="G501" t="s">
        <v>66</v>
      </c>
      <c r="H501">
        <v>13042</v>
      </c>
      <c r="I501">
        <v>41.893970000000003</v>
      </c>
      <c r="J501">
        <v>-87.629232000000002</v>
      </c>
      <c r="K501">
        <v>41.901001000000001</v>
      </c>
      <c r="L501">
        <v>-87.624190999999996</v>
      </c>
      <c r="M501" t="s">
        <v>17</v>
      </c>
      <c r="N501" s="12">
        <v>4.9421296296296288E-3</v>
      </c>
      <c r="O501">
        <v>2</v>
      </c>
      <c r="P501" t="s">
        <v>555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D4E0-BFCC-405D-BA69-33AD3772F0AE}">
  <dimension ref="A1:Q24"/>
  <sheetViews>
    <sheetView tabSelected="1" workbookViewId="0">
      <selection activeCell="B6" sqref="B6"/>
    </sheetView>
  </sheetViews>
  <sheetFormatPr defaultRowHeight="15" x14ac:dyDescent="0.25"/>
  <cols>
    <col min="1" max="1" width="15.5703125" bestFit="1" customWidth="1"/>
    <col min="2" max="2" width="16.85546875" bestFit="1" customWidth="1"/>
    <col min="3" max="3" width="12.28515625" bestFit="1" customWidth="1"/>
    <col min="4" max="4" width="12.5703125" bestFit="1" customWidth="1"/>
    <col min="5" max="5" width="11.28515625" bestFit="1" customWidth="1"/>
    <col min="6" max="6" width="21.42578125" bestFit="1" customWidth="1"/>
    <col min="7" max="7" width="22" bestFit="1" customWidth="1"/>
    <col min="8" max="8" width="21.42578125" bestFit="1" customWidth="1"/>
    <col min="9" max="9" width="22" bestFit="1" customWidth="1"/>
    <col min="10" max="10" width="21.42578125" bestFit="1" customWidth="1"/>
    <col min="11" max="11" width="22" bestFit="1" customWidth="1"/>
    <col min="12" max="12" width="21.42578125" bestFit="1" customWidth="1"/>
    <col min="13" max="13" width="22" bestFit="1" customWidth="1"/>
    <col min="14" max="14" width="21.42578125" bestFit="1" customWidth="1"/>
    <col min="15" max="15" width="22" bestFit="1" customWidth="1"/>
    <col min="16" max="16" width="26.42578125" bestFit="1" customWidth="1"/>
    <col min="17" max="17" width="27" bestFit="1" customWidth="1"/>
    <col min="18" max="18" width="6.7109375" bestFit="1" customWidth="1"/>
    <col min="19" max="19" width="9.7109375" bestFit="1" customWidth="1"/>
    <col min="20" max="20" width="6.140625" bestFit="1" customWidth="1"/>
    <col min="21" max="21" width="9.140625" bestFit="1" customWidth="1"/>
    <col min="22" max="22" width="7" bestFit="1" customWidth="1"/>
    <col min="23" max="23" width="10" bestFit="1" customWidth="1"/>
    <col min="24" max="24" width="6.140625" bestFit="1" customWidth="1"/>
    <col min="25" max="25" width="9.140625" bestFit="1" customWidth="1"/>
    <col min="26" max="26" width="5.140625" bestFit="1" customWidth="1"/>
    <col min="27" max="27" width="8.140625" bestFit="1" customWidth="1"/>
    <col min="28" max="28" width="5.7109375" bestFit="1" customWidth="1"/>
    <col min="29" max="29" width="8.7109375" bestFit="1" customWidth="1"/>
    <col min="30" max="30" width="26.42578125" bestFit="1" customWidth="1"/>
    <col min="31" max="31" width="24.7109375" bestFit="1" customWidth="1"/>
  </cols>
  <sheetData>
    <row r="1" spans="1:17" x14ac:dyDescent="0.25">
      <c r="A1" s="10" t="s">
        <v>564</v>
      </c>
    </row>
    <row r="3" spans="1:17" x14ac:dyDescent="0.25">
      <c r="A3" s="6" t="s">
        <v>549</v>
      </c>
      <c r="B3" t="s">
        <v>551</v>
      </c>
    </row>
    <row r="4" spans="1:17" x14ac:dyDescent="0.25">
      <c r="A4" s="7" t="s">
        <v>31</v>
      </c>
      <c r="B4" s="9">
        <v>2.0000190781440792E-2</v>
      </c>
    </row>
    <row r="5" spans="1:17" x14ac:dyDescent="0.25">
      <c r="A5" s="7" t="s">
        <v>17</v>
      </c>
      <c r="B5" s="9">
        <v>1.055752096436058E-2</v>
      </c>
    </row>
    <row r="6" spans="1:17" x14ac:dyDescent="0.25">
      <c r="A6" s="7" t="s">
        <v>550</v>
      </c>
      <c r="B6" s="9">
        <v>1.3994652777777779E-2</v>
      </c>
    </row>
    <row r="8" spans="1:17" x14ac:dyDescent="0.25">
      <c r="A8" s="10" t="s">
        <v>563</v>
      </c>
    </row>
    <row r="10" spans="1:17" x14ac:dyDescent="0.25">
      <c r="B10" s="6" t="s">
        <v>552</v>
      </c>
    </row>
    <row r="11" spans="1:17" x14ac:dyDescent="0.25">
      <c r="B11" t="s">
        <v>554</v>
      </c>
      <c r="D11" t="s">
        <v>555</v>
      </c>
      <c r="F11" t="s">
        <v>556</v>
      </c>
      <c r="H11" t="s">
        <v>557</v>
      </c>
      <c r="J11" t="s">
        <v>558</v>
      </c>
      <c r="L11" t="s">
        <v>559</v>
      </c>
      <c r="N11" t="s">
        <v>560</v>
      </c>
      <c r="P11" t="s">
        <v>553</v>
      </c>
      <c r="Q11" t="s">
        <v>561</v>
      </c>
    </row>
    <row r="12" spans="1:17" x14ac:dyDescent="0.25">
      <c r="A12" s="6" t="s">
        <v>549</v>
      </c>
      <c r="B12" t="s">
        <v>551</v>
      </c>
      <c r="C12" t="s">
        <v>562</v>
      </c>
      <c r="D12" t="s">
        <v>551</v>
      </c>
      <c r="E12" t="s">
        <v>562</v>
      </c>
      <c r="F12" t="s">
        <v>551</v>
      </c>
      <c r="G12" t="s">
        <v>562</v>
      </c>
      <c r="H12" t="s">
        <v>551</v>
      </c>
      <c r="I12" t="s">
        <v>562</v>
      </c>
      <c r="J12" t="s">
        <v>551</v>
      </c>
      <c r="K12" t="s">
        <v>562</v>
      </c>
      <c r="L12" t="s">
        <v>551</v>
      </c>
      <c r="M12" t="s">
        <v>562</v>
      </c>
      <c r="N12" t="s">
        <v>551</v>
      </c>
      <c r="O12" t="s">
        <v>562</v>
      </c>
    </row>
    <row r="13" spans="1:17" x14ac:dyDescent="0.25">
      <c r="A13" s="7" t="s">
        <v>31</v>
      </c>
      <c r="B13" s="9">
        <v>2.2982253086419751E-2</v>
      </c>
      <c r="C13" s="8">
        <v>18</v>
      </c>
      <c r="D13" s="9">
        <v>2.177824074074074E-2</v>
      </c>
      <c r="E13" s="8">
        <v>25</v>
      </c>
      <c r="F13" s="9">
        <v>1.5525925925925929E-2</v>
      </c>
      <c r="G13" s="8">
        <v>25</v>
      </c>
      <c r="H13" s="9">
        <v>2.4257192460317462E-2</v>
      </c>
      <c r="I13" s="8">
        <v>28</v>
      </c>
      <c r="J13" s="9">
        <v>1.8444967144563919E-2</v>
      </c>
      <c r="K13" s="8">
        <v>31</v>
      </c>
      <c r="L13" s="9">
        <v>1.8940446127946129E-2</v>
      </c>
      <c r="M13" s="8">
        <v>22</v>
      </c>
      <c r="N13" s="9">
        <v>1.8971661054994392E-2</v>
      </c>
      <c r="O13" s="8">
        <v>33</v>
      </c>
      <c r="P13" s="9">
        <v>2.0000190781440781E-2</v>
      </c>
      <c r="Q13" s="8">
        <v>182</v>
      </c>
    </row>
    <row r="14" spans="1:17" x14ac:dyDescent="0.25">
      <c r="A14" s="7" t="s">
        <v>17</v>
      </c>
      <c r="B14" s="9">
        <v>1.0956101190476191E-2</v>
      </c>
      <c r="C14" s="8">
        <v>56</v>
      </c>
      <c r="D14" s="9">
        <v>9.4215856481481494E-3</v>
      </c>
      <c r="E14" s="8">
        <v>40</v>
      </c>
      <c r="F14" s="9">
        <v>9.0858892746913545E-3</v>
      </c>
      <c r="G14" s="8">
        <v>48</v>
      </c>
      <c r="H14" s="9">
        <v>1.0262509850275808E-2</v>
      </c>
      <c r="I14" s="8">
        <v>47</v>
      </c>
      <c r="J14" s="9">
        <v>1.1256050084175085E-2</v>
      </c>
      <c r="K14" s="8">
        <v>44</v>
      </c>
      <c r="L14" s="9">
        <v>1.1044973544973545E-2</v>
      </c>
      <c r="M14" s="8">
        <v>42</v>
      </c>
      <c r="N14" s="9">
        <v>1.1933434959349593E-2</v>
      </c>
      <c r="O14" s="8">
        <v>41</v>
      </c>
      <c r="P14" s="9">
        <v>1.0557520964360584E-2</v>
      </c>
      <c r="Q14" s="8">
        <v>318</v>
      </c>
    </row>
    <row r="15" spans="1:17" x14ac:dyDescent="0.25">
      <c r="A15" s="7" t="s">
        <v>550</v>
      </c>
      <c r="B15" s="9">
        <v>1.3881381381381373E-2</v>
      </c>
      <c r="C15" s="8">
        <v>74</v>
      </c>
      <c r="D15" s="9">
        <v>1.41741452991453E-2</v>
      </c>
      <c r="E15" s="8">
        <v>65</v>
      </c>
      <c r="F15" s="9">
        <v>1.1291381278538818E-2</v>
      </c>
      <c r="G15" s="8">
        <v>73</v>
      </c>
      <c r="H15" s="9">
        <v>1.5487191358024692E-2</v>
      </c>
      <c r="I15" s="8">
        <v>75</v>
      </c>
      <c r="J15" s="9">
        <v>1.4227469135802463E-2</v>
      </c>
      <c r="K15" s="8">
        <v>75</v>
      </c>
      <c r="L15" s="9">
        <v>1.3759042245370369E-2</v>
      </c>
      <c r="M15" s="8">
        <v>64</v>
      </c>
      <c r="N15" s="9">
        <v>1.5072103353353352E-2</v>
      </c>
      <c r="O15" s="8">
        <v>74</v>
      </c>
      <c r="P15" s="9">
        <v>1.3994652777777774E-2</v>
      </c>
      <c r="Q15" s="8">
        <v>500</v>
      </c>
    </row>
    <row r="18" spans="1:5" x14ac:dyDescent="0.25">
      <c r="A18" s="10" t="s">
        <v>565</v>
      </c>
    </row>
    <row r="20" spans="1:5" x14ac:dyDescent="0.25">
      <c r="A20" s="6" t="s">
        <v>566</v>
      </c>
      <c r="B20" s="6" t="s">
        <v>552</v>
      </c>
    </row>
    <row r="21" spans="1:5" x14ac:dyDescent="0.25">
      <c r="A21" s="6" t="s">
        <v>549</v>
      </c>
      <c r="B21" t="s">
        <v>14</v>
      </c>
      <c r="C21" t="s">
        <v>26</v>
      </c>
      <c r="D21" t="s">
        <v>37</v>
      </c>
      <c r="E21" t="s">
        <v>550</v>
      </c>
    </row>
    <row r="22" spans="1:5" x14ac:dyDescent="0.25">
      <c r="A22" s="7" t="s">
        <v>31</v>
      </c>
      <c r="B22" s="8">
        <v>107</v>
      </c>
      <c r="C22" s="8">
        <v>8</v>
      </c>
      <c r="D22" s="8">
        <v>67</v>
      </c>
      <c r="E22" s="8">
        <v>182</v>
      </c>
    </row>
    <row r="23" spans="1:5" x14ac:dyDescent="0.25">
      <c r="A23" s="7" t="s">
        <v>17</v>
      </c>
      <c r="B23" s="8">
        <v>173</v>
      </c>
      <c r="C23" s="8">
        <v>26</v>
      </c>
      <c r="D23" s="8">
        <v>119</v>
      </c>
      <c r="E23" s="8">
        <v>318</v>
      </c>
    </row>
    <row r="24" spans="1:5" x14ac:dyDescent="0.25">
      <c r="A24" s="7" t="s">
        <v>550</v>
      </c>
      <c r="B24" s="8">
        <v>280</v>
      </c>
      <c r="C24" s="8">
        <v>34</v>
      </c>
      <c r="D24" s="8">
        <v>186</v>
      </c>
      <c r="E24" s="8">
        <v>500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C019-3176-4084-9004-C03EB797EF19}">
  <dimension ref="A1:S501"/>
  <sheetViews>
    <sheetView topLeftCell="L465" workbookViewId="0">
      <selection activeCell="C3" sqref="A2:P501"/>
    </sheetView>
  </sheetViews>
  <sheetFormatPr defaultColWidth="25.28515625" defaultRowHeight="15" x14ac:dyDescent="0.25"/>
  <cols>
    <col min="1" max="17" width="25.28515625" style="1"/>
    <col min="18" max="18" width="31.140625" style="1" customWidth="1"/>
    <col min="19" max="16384" width="25.28515625" style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538</v>
      </c>
      <c r="O1" s="4" t="s">
        <v>539</v>
      </c>
      <c r="P1" s="4" t="s">
        <v>540</v>
      </c>
    </row>
    <row r="2" spans="1:19" x14ac:dyDescent="0.25">
      <c r="A2" s="1" t="s">
        <v>13</v>
      </c>
      <c r="B2" s="1" t="s">
        <v>14</v>
      </c>
      <c r="C2" s="2">
        <v>44927.992349537039</v>
      </c>
      <c r="D2" s="2">
        <v>44927.996701388889</v>
      </c>
      <c r="E2" s="1" t="s">
        <v>15</v>
      </c>
      <c r="F2" s="1">
        <v>13008</v>
      </c>
      <c r="G2" s="1" t="s">
        <v>16</v>
      </c>
      <c r="H2" s="1">
        <v>13045</v>
      </c>
      <c r="I2" s="1">
        <v>41.880747</v>
      </c>
      <c r="J2" s="1">
        <v>-87.624542000000005</v>
      </c>
      <c r="K2" s="1">
        <v>41.893856</v>
      </c>
      <c r="L2" s="1">
        <v>-87.629718999999994</v>
      </c>
      <c r="M2" s="1" t="s">
        <v>17</v>
      </c>
      <c r="N2" s="5">
        <f>D2-C2</f>
        <v>4.3518518505152315E-3</v>
      </c>
      <c r="O2" s="1">
        <f>WEEKDAY(C2,1)</f>
        <v>1</v>
      </c>
      <c r="P2" s="1" t="str">
        <f>CHOOSE(O2,"Sun","Mon","Tue","Wed","Thu","Fri","Sat")</f>
        <v>Sun</v>
      </c>
      <c r="R2" s="1" t="s">
        <v>541</v>
      </c>
      <c r="S2" s="5">
        <f>AVERAGEIF(M2:M501,"member",N2:N501)</f>
        <v>1.0557520964590917E-2</v>
      </c>
    </row>
    <row r="3" spans="1:19" x14ac:dyDescent="0.25">
      <c r="A3" s="1" t="s">
        <v>18</v>
      </c>
      <c r="B3" s="1" t="s">
        <v>14</v>
      </c>
      <c r="C3" s="2">
        <v>44930.038518518515</v>
      </c>
      <c r="D3" s="2">
        <v>44930.063888888886</v>
      </c>
      <c r="E3" s="1" t="s">
        <v>19</v>
      </c>
      <c r="F3" s="1" t="s">
        <v>20</v>
      </c>
      <c r="G3" s="1" t="s">
        <v>21</v>
      </c>
      <c r="H3" s="1">
        <v>21213</v>
      </c>
      <c r="I3" s="1">
        <v>41.926000000000002</v>
      </c>
      <c r="J3" s="1">
        <v>-87.630926000000002</v>
      </c>
      <c r="K3" s="1">
        <v>41.834581999999997</v>
      </c>
      <c r="L3" s="1">
        <v>-87.626290999999995</v>
      </c>
      <c r="M3" s="1" t="s">
        <v>17</v>
      </c>
      <c r="N3" s="5">
        <f t="shared" ref="N3:N66" si="0">D3-C3</f>
        <v>2.5370370371092577E-2</v>
      </c>
      <c r="O3" s="1">
        <f t="shared" ref="O3:O66" si="1">WEEKDAY(C3,1)</f>
        <v>4</v>
      </c>
      <c r="P3" s="1" t="str">
        <f t="shared" ref="P3:P66" si="2">CHOOSE(O3,"Sun","Mon","Tue","Wed","Thu","Fri","Sat")</f>
        <v>Wed</v>
      </c>
      <c r="R3" s="1" t="s">
        <v>542</v>
      </c>
      <c r="S3" s="5">
        <f>AVERAGEIF(M2:M501,"casual",N2:N501)</f>
        <v>2.0000190781162358E-2</v>
      </c>
    </row>
    <row r="4" spans="1:19" x14ac:dyDescent="0.25">
      <c r="A4" s="1" t="s">
        <v>22</v>
      </c>
      <c r="B4" s="1" t="s">
        <v>14</v>
      </c>
      <c r="C4" s="2">
        <v>44930.713055555556</v>
      </c>
      <c r="D4" s="2">
        <v>44930.716331018521</v>
      </c>
      <c r="E4" s="1" t="s">
        <v>23</v>
      </c>
      <c r="F4" s="1">
        <v>13011</v>
      </c>
      <c r="G4" s="1" t="s">
        <v>24</v>
      </c>
      <c r="H4" s="1">
        <v>13263</v>
      </c>
      <c r="I4" s="1">
        <v>41.879669999999997</v>
      </c>
      <c r="J4" s="1">
        <v>-87.640034</v>
      </c>
      <c r="K4" s="1">
        <v>41.884242999999998</v>
      </c>
      <c r="L4" s="1">
        <v>-87.619093000000007</v>
      </c>
      <c r="M4" s="1" t="s">
        <v>17</v>
      </c>
      <c r="N4" s="5">
        <f t="shared" si="0"/>
        <v>3.275462964666076E-3</v>
      </c>
      <c r="O4" s="1">
        <f t="shared" si="1"/>
        <v>4</v>
      </c>
      <c r="P4" s="1" t="str">
        <f t="shared" si="2"/>
        <v>Wed</v>
      </c>
    </row>
    <row r="5" spans="1:19" x14ac:dyDescent="0.25">
      <c r="A5" s="1" t="s">
        <v>25</v>
      </c>
      <c r="B5" s="1" t="s">
        <v>26</v>
      </c>
      <c r="C5" s="2">
        <v>44931.198807870373</v>
      </c>
      <c r="D5" s="2">
        <v>44931.205324074072</v>
      </c>
      <c r="E5" s="1" t="s">
        <v>27</v>
      </c>
      <c r="F5" s="1" t="s">
        <v>28</v>
      </c>
      <c r="G5" s="1" t="s">
        <v>19</v>
      </c>
      <c r="H5" s="1" t="s">
        <v>20</v>
      </c>
      <c r="I5" s="1">
        <v>41.889161999999999</v>
      </c>
      <c r="J5" s="1">
        <v>-87.638704000000004</v>
      </c>
      <c r="K5" s="1">
        <v>41.926340000000003</v>
      </c>
      <c r="L5" s="1">
        <v>-87.630529999999993</v>
      </c>
      <c r="M5" s="1" t="s">
        <v>17</v>
      </c>
      <c r="N5" s="5">
        <f t="shared" si="0"/>
        <v>6.5162036989931948E-3</v>
      </c>
      <c r="O5" s="1">
        <f t="shared" si="1"/>
        <v>5</v>
      </c>
      <c r="P5" s="1" t="str">
        <f t="shared" si="2"/>
        <v>Thu</v>
      </c>
      <c r="R5" s="1" t="s">
        <v>543</v>
      </c>
      <c r="S5" s="5">
        <f>_xlfn.MAXIFS(N2:N501,M2:M501,"member")</f>
        <v>6.7025462965830229E-2</v>
      </c>
    </row>
    <row r="6" spans="1:19" x14ac:dyDescent="0.25">
      <c r="A6" s="1" t="s">
        <v>29</v>
      </c>
      <c r="B6" s="1" t="s">
        <v>14</v>
      </c>
      <c r="C6" s="2">
        <v>44931.933946759258</v>
      </c>
      <c r="D6" s="2">
        <v>44931.966932870368</v>
      </c>
      <c r="E6" s="1" t="s">
        <v>27</v>
      </c>
      <c r="F6" s="1" t="s">
        <v>28</v>
      </c>
      <c r="G6" s="1" t="s">
        <v>30</v>
      </c>
      <c r="H6" s="1">
        <v>13137</v>
      </c>
      <c r="I6" s="1">
        <v>41.889280999999997</v>
      </c>
      <c r="J6" s="1">
        <v>-87.638503999999998</v>
      </c>
      <c r="K6" s="1">
        <v>41.937621999999998</v>
      </c>
      <c r="L6" s="1">
        <v>-87.644112000000007</v>
      </c>
      <c r="M6" s="1" t="s">
        <v>31</v>
      </c>
      <c r="N6" s="5">
        <f t="shared" si="0"/>
        <v>3.2986111109494232E-2</v>
      </c>
      <c r="O6" s="1">
        <f t="shared" si="1"/>
        <v>5</v>
      </c>
      <c r="P6" s="1" t="str">
        <f t="shared" si="2"/>
        <v>Thu</v>
      </c>
      <c r="R6" s="1" t="s">
        <v>544</v>
      </c>
      <c r="S6" s="5">
        <f>_xlfn.MAXIFS(N2:N501,M2:M501,"casual")</f>
        <v>9.8090277773735579E-2</v>
      </c>
    </row>
    <row r="7" spans="1:19" x14ac:dyDescent="0.25">
      <c r="A7" s="1" t="s">
        <v>32</v>
      </c>
      <c r="B7" s="1" t="s">
        <v>14</v>
      </c>
      <c r="C7" s="2">
        <v>44932.017581018517</v>
      </c>
      <c r="D7" s="2">
        <v>44932.023113425923</v>
      </c>
      <c r="E7" s="1" t="s">
        <v>33</v>
      </c>
      <c r="F7" s="1" t="s">
        <v>34</v>
      </c>
      <c r="G7" s="1" t="s">
        <v>35</v>
      </c>
      <c r="H7" s="1">
        <v>13022</v>
      </c>
      <c r="I7" s="1">
        <v>41.887403999999997</v>
      </c>
      <c r="J7" s="1">
        <v>-87.612468000000007</v>
      </c>
      <c r="K7" s="1">
        <v>41.892001999999998</v>
      </c>
      <c r="L7" s="1">
        <v>-87.612303999999995</v>
      </c>
      <c r="M7" s="1" t="s">
        <v>17</v>
      </c>
      <c r="N7" s="5">
        <f t="shared" si="0"/>
        <v>5.5324074055533856E-3</v>
      </c>
      <c r="O7" s="1">
        <f t="shared" si="1"/>
        <v>6</v>
      </c>
      <c r="P7" s="1" t="str">
        <f t="shared" si="2"/>
        <v>Fri</v>
      </c>
    </row>
    <row r="8" spans="1:19" x14ac:dyDescent="0.25">
      <c r="A8" s="1" t="s">
        <v>36</v>
      </c>
      <c r="B8" s="1" t="s">
        <v>37</v>
      </c>
      <c r="C8" s="2">
        <v>44933.267581018517</v>
      </c>
      <c r="D8" s="2">
        <v>44933.329421296294</v>
      </c>
      <c r="E8" s="1" t="s">
        <v>27</v>
      </c>
      <c r="F8" s="1" t="s">
        <v>28</v>
      </c>
      <c r="G8" s="1" t="s">
        <v>35</v>
      </c>
      <c r="H8" s="1">
        <v>13022</v>
      </c>
      <c r="I8" s="1">
        <v>41.889167999999998</v>
      </c>
      <c r="J8" s="1">
        <v>-87.638283000000001</v>
      </c>
      <c r="K8" s="1">
        <v>41.892598999999997</v>
      </c>
      <c r="L8" s="1">
        <v>-87.611824999999996</v>
      </c>
      <c r="M8" s="1" t="s">
        <v>31</v>
      </c>
      <c r="N8" s="5">
        <f t="shared" si="0"/>
        <v>6.1840277776354924E-2</v>
      </c>
      <c r="O8" s="1">
        <f t="shared" si="1"/>
        <v>7</v>
      </c>
      <c r="P8" s="1" t="str">
        <f t="shared" si="2"/>
        <v>Sat</v>
      </c>
    </row>
    <row r="9" spans="1:19" x14ac:dyDescent="0.25">
      <c r="A9" s="1" t="s">
        <v>38</v>
      </c>
      <c r="B9" s="1" t="s">
        <v>14</v>
      </c>
      <c r="C9" s="2">
        <v>44933.651608796295</v>
      </c>
      <c r="D9" s="2">
        <v>44933.669027777774</v>
      </c>
      <c r="E9" s="1" t="s">
        <v>16</v>
      </c>
      <c r="F9" s="1">
        <v>13045</v>
      </c>
      <c r="G9" s="1" t="s">
        <v>27</v>
      </c>
      <c r="H9" s="1" t="s">
        <v>28</v>
      </c>
      <c r="I9" s="1">
        <v>41.894136000000003</v>
      </c>
      <c r="J9" s="1">
        <v>-87.629292000000007</v>
      </c>
      <c r="K9" s="1">
        <v>41.889409000000001</v>
      </c>
      <c r="L9" s="1">
        <v>-87.638924000000003</v>
      </c>
      <c r="M9" s="1" t="s">
        <v>31</v>
      </c>
      <c r="N9" s="5">
        <f t="shared" si="0"/>
        <v>1.7418981478840578E-2</v>
      </c>
      <c r="O9" s="1">
        <f t="shared" si="1"/>
        <v>7</v>
      </c>
      <c r="P9" s="1" t="str">
        <f t="shared" si="2"/>
        <v>Sat</v>
      </c>
      <c r="R9" s="1" t="s">
        <v>545</v>
      </c>
      <c r="S9" s="5" cm="1">
        <f t="array" ref="S9">MEDIAN(IF(M2:M501="member",N2:N501))</f>
        <v>7.9108796271611936E-3</v>
      </c>
    </row>
    <row r="10" spans="1:19" x14ac:dyDescent="0.25">
      <c r="A10" s="1" t="s">
        <v>39</v>
      </c>
      <c r="B10" s="1" t="s">
        <v>14</v>
      </c>
      <c r="C10" s="2">
        <v>44933.796574074076</v>
      </c>
      <c r="D10" s="2">
        <v>44933.805949074071</v>
      </c>
      <c r="E10" s="1" t="s">
        <v>27</v>
      </c>
      <c r="F10" s="1" t="s">
        <v>28</v>
      </c>
      <c r="G10" s="1" t="s">
        <v>15</v>
      </c>
      <c r="H10" s="1">
        <v>13008</v>
      </c>
      <c r="I10" s="1">
        <v>41.888835999999998</v>
      </c>
      <c r="J10" s="1">
        <v>-87.638651999999993</v>
      </c>
      <c r="K10" s="1">
        <v>41.880951000000003</v>
      </c>
      <c r="L10" s="1">
        <v>-87.624193000000005</v>
      </c>
      <c r="M10" s="1" t="s">
        <v>17</v>
      </c>
      <c r="N10" s="5">
        <f t="shared" si="0"/>
        <v>9.3749999941792339E-3</v>
      </c>
      <c r="O10" s="1">
        <f t="shared" si="1"/>
        <v>7</v>
      </c>
      <c r="P10" s="1" t="str">
        <f t="shared" si="2"/>
        <v>Sat</v>
      </c>
      <c r="R10" s="1" t="s">
        <v>546</v>
      </c>
      <c r="S10" s="5" cm="1">
        <f t="array" ref="S10">MEDIAN(IF(M2:M501="casual",N2:N501))</f>
        <v>1.498842592627625E-2</v>
      </c>
    </row>
    <row r="11" spans="1:19" x14ac:dyDescent="0.25">
      <c r="A11" s="1" t="s">
        <v>40</v>
      </c>
      <c r="B11" s="1" t="s">
        <v>37</v>
      </c>
      <c r="C11" s="2">
        <v>44934.896909722222</v>
      </c>
      <c r="D11" s="2">
        <v>44934.913495370369</v>
      </c>
      <c r="E11" s="1" t="s">
        <v>41</v>
      </c>
      <c r="F11" s="1" t="s">
        <v>42</v>
      </c>
      <c r="G11" s="1" t="s">
        <v>43</v>
      </c>
      <c r="H11" s="1" t="s">
        <v>44</v>
      </c>
      <c r="I11" s="1">
        <v>41.902535</v>
      </c>
      <c r="J11" s="1">
        <v>-87.631045999999998</v>
      </c>
      <c r="K11" s="1">
        <v>41.903244000000001</v>
      </c>
      <c r="L11" s="1">
        <v>-87.634611000000007</v>
      </c>
      <c r="M11" s="1" t="s">
        <v>17</v>
      </c>
      <c r="N11" s="5">
        <f t="shared" si="0"/>
        <v>1.6585648147156462E-2</v>
      </c>
      <c r="O11" s="1">
        <f t="shared" si="1"/>
        <v>1</v>
      </c>
      <c r="P11" s="1" t="str">
        <f t="shared" si="2"/>
        <v>Sun</v>
      </c>
    </row>
    <row r="12" spans="1:19" x14ac:dyDescent="0.25">
      <c r="A12" s="1" t="s">
        <v>45</v>
      </c>
      <c r="B12" s="1" t="s">
        <v>37</v>
      </c>
      <c r="C12" s="2">
        <v>44935.280555555553</v>
      </c>
      <c r="D12" s="2">
        <v>44935.306574074071</v>
      </c>
      <c r="E12" s="1" t="s">
        <v>19</v>
      </c>
      <c r="F12" s="1" t="s">
        <v>20</v>
      </c>
      <c r="G12" s="1" t="s">
        <v>19</v>
      </c>
      <c r="H12" s="1" t="s">
        <v>20</v>
      </c>
      <c r="I12" s="1">
        <v>41.926031999999999</v>
      </c>
      <c r="J12" s="1">
        <v>-87.630672000000004</v>
      </c>
      <c r="K12" s="1">
        <v>41.926755999999997</v>
      </c>
      <c r="L12" s="1">
        <v>-87.630960000000002</v>
      </c>
      <c r="M12" s="1" t="s">
        <v>31</v>
      </c>
      <c r="N12" s="5">
        <f t="shared" si="0"/>
        <v>2.6018518517958E-2</v>
      </c>
      <c r="O12" s="1">
        <f t="shared" si="1"/>
        <v>2</v>
      </c>
      <c r="P12" s="1" t="str">
        <f t="shared" si="2"/>
        <v>Mon</v>
      </c>
      <c r="R12" s="1" t="s">
        <v>547</v>
      </c>
      <c r="S12" s="1">
        <f>COUNTIF(M2:M501,"member")</f>
        <v>318</v>
      </c>
    </row>
    <row r="13" spans="1:19" x14ac:dyDescent="0.25">
      <c r="A13" s="1" t="s">
        <v>46</v>
      </c>
      <c r="B13" s="1" t="s">
        <v>14</v>
      </c>
      <c r="C13" s="2">
        <v>44936.020740740743</v>
      </c>
      <c r="D13" s="2">
        <v>44936.023935185185</v>
      </c>
      <c r="E13" s="1" t="s">
        <v>47</v>
      </c>
      <c r="F13" s="1" t="s">
        <v>48</v>
      </c>
      <c r="G13" s="1" t="s">
        <v>47</v>
      </c>
      <c r="H13" s="1" t="s">
        <v>48</v>
      </c>
      <c r="I13" s="1">
        <v>41.881951000000001</v>
      </c>
      <c r="J13" s="1">
        <v>-87.641149999999996</v>
      </c>
      <c r="K13" s="1">
        <v>41.882098999999997</v>
      </c>
      <c r="L13" s="1">
        <v>-87.640653999999998</v>
      </c>
      <c r="M13" s="1" t="s">
        <v>17</v>
      </c>
      <c r="N13" s="5">
        <f t="shared" si="0"/>
        <v>3.1944444417604245E-3</v>
      </c>
      <c r="O13" s="1">
        <f t="shared" si="1"/>
        <v>3</v>
      </c>
      <c r="P13" s="1" t="str">
        <f t="shared" si="2"/>
        <v>Tue</v>
      </c>
      <c r="R13" s="1" t="s">
        <v>548</v>
      </c>
      <c r="S13" s="1">
        <f>COUNTIF(M3:M502,"casual")</f>
        <v>182</v>
      </c>
    </row>
    <row r="14" spans="1:19" x14ac:dyDescent="0.25">
      <c r="A14" s="1" t="s">
        <v>49</v>
      </c>
      <c r="B14" s="1" t="s">
        <v>14</v>
      </c>
      <c r="C14" s="2">
        <v>44936.282638888886</v>
      </c>
      <c r="D14" s="2">
        <v>44936.28707175926</v>
      </c>
      <c r="E14" s="1" t="s">
        <v>27</v>
      </c>
      <c r="F14" s="1" t="s">
        <v>28</v>
      </c>
      <c r="G14" s="1" t="s">
        <v>35</v>
      </c>
      <c r="H14" s="1">
        <v>13022</v>
      </c>
      <c r="I14" s="1">
        <v>41.889387999999997</v>
      </c>
      <c r="J14" s="1">
        <v>-87.638216</v>
      </c>
      <c r="K14" s="1">
        <v>41.892384</v>
      </c>
      <c r="L14" s="1">
        <v>-87.611616999999995</v>
      </c>
      <c r="M14" s="1" t="s">
        <v>17</v>
      </c>
      <c r="N14" s="5">
        <f t="shared" si="0"/>
        <v>4.432870373420883E-3</v>
      </c>
      <c r="O14" s="1">
        <f t="shared" si="1"/>
        <v>3</v>
      </c>
      <c r="P14" s="1" t="str">
        <f t="shared" si="2"/>
        <v>Tue</v>
      </c>
    </row>
    <row r="15" spans="1:19" x14ac:dyDescent="0.25">
      <c r="A15" s="1" t="s">
        <v>50</v>
      </c>
      <c r="B15" s="1" t="s">
        <v>14</v>
      </c>
      <c r="C15" s="2">
        <v>44937.123043981483</v>
      </c>
      <c r="D15" s="2">
        <v>44937.135775462964</v>
      </c>
      <c r="E15" s="1" t="s">
        <v>35</v>
      </c>
      <c r="F15" s="1">
        <v>13022</v>
      </c>
      <c r="G15" s="1" t="s">
        <v>35</v>
      </c>
      <c r="H15" s="1">
        <v>13022</v>
      </c>
      <c r="I15" s="1">
        <v>41.892758999999998</v>
      </c>
      <c r="J15" s="1">
        <v>-87.611880999999997</v>
      </c>
      <c r="K15" s="1">
        <v>41.892595</v>
      </c>
      <c r="L15" s="1">
        <v>-87.611793000000006</v>
      </c>
      <c r="M15" s="1" t="s">
        <v>31</v>
      </c>
      <c r="N15" s="5">
        <f t="shared" si="0"/>
        <v>1.2731481481750961E-2</v>
      </c>
      <c r="O15" s="1">
        <f t="shared" si="1"/>
        <v>4</v>
      </c>
      <c r="P15" s="1" t="str">
        <f t="shared" si="2"/>
        <v>Wed</v>
      </c>
    </row>
    <row r="16" spans="1:19" x14ac:dyDescent="0.25">
      <c r="A16" s="1" t="s">
        <v>51</v>
      </c>
      <c r="B16" s="1" t="s">
        <v>14</v>
      </c>
      <c r="C16" s="2">
        <v>44937.632222222222</v>
      </c>
      <c r="D16" s="2">
        <v>44937.638009259259</v>
      </c>
      <c r="E16" s="1" t="s">
        <v>15</v>
      </c>
      <c r="F16" s="1">
        <v>13008</v>
      </c>
      <c r="G16" s="1" t="s">
        <v>23</v>
      </c>
      <c r="H16" s="1">
        <v>13011</v>
      </c>
      <c r="I16" s="1">
        <v>41.881531000000003</v>
      </c>
      <c r="J16" s="1">
        <v>-87.624478999999994</v>
      </c>
      <c r="K16" s="1">
        <v>41.879254000000003</v>
      </c>
      <c r="L16" s="1">
        <v>-87.640018999999995</v>
      </c>
      <c r="M16" s="1" t="s">
        <v>17</v>
      </c>
      <c r="N16" s="5">
        <f t="shared" si="0"/>
        <v>5.7870370364980772E-3</v>
      </c>
      <c r="O16" s="1">
        <f t="shared" si="1"/>
        <v>4</v>
      </c>
      <c r="P16" s="1" t="str">
        <f t="shared" si="2"/>
        <v>Wed</v>
      </c>
    </row>
    <row r="17" spans="1:16" x14ac:dyDescent="0.25">
      <c r="A17" s="3" t="s">
        <v>52</v>
      </c>
      <c r="B17" s="1" t="s">
        <v>37</v>
      </c>
      <c r="C17" s="2">
        <v>44937.736087962963</v>
      </c>
      <c r="D17" s="2">
        <v>44937.746365740742</v>
      </c>
      <c r="E17" s="1" t="s">
        <v>33</v>
      </c>
      <c r="F17" s="1" t="s">
        <v>34</v>
      </c>
      <c r="G17" s="1" t="s">
        <v>19</v>
      </c>
      <c r="H17" s="1" t="s">
        <v>20</v>
      </c>
      <c r="I17" s="1">
        <v>41.886693999999999</v>
      </c>
      <c r="J17" s="1">
        <v>-87.612378000000007</v>
      </c>
      <c r="K17" s="1">
        <v>41.926242999999999</v>
      </c>
      <c r="L17" s="1">
        <v>-87.630888999999996</v>
      </c>
      <c r="M17" s="1" t="s">
        <v>17</v>
      </c>
      <c r="N17" s="5">
        <f t="shared" si="0"/>
        <v>1.0277777779265307E-2</v>
      </c>
      <c r="O17" s="1">
        <f t="shared" si="1"/>
        <v>4</v>
      </c>
      <c r="P17" s="1" t="str">
        <f t="shared" si="2"/>
        <v>Wed</v>
      </c>
    </row>
    <row r="18" spans="1:16" x14ac:dyDescent="0.25">
      <c r="A18" s="1" t="s">
        <v>53</v>
      </c>
      <c r="B18" s="1" t="s">
        <v>37</v>
      </c>
      <c r="C18" s="2">
        <v>44938.112372685187</v>
      </c>
      <c r="D18" s="2">
        <v>44938.125532407408</v>
      </c>
      <c r="E18" s="1" t="s">
        <v>33</v>
      </c>
      <c r="F18" s="1" t="s">
        <v>34</v>
      </c>
      <c r="G18" s="1" t="s">
        <v>33</v>
      </c>
      <c r="H18" s="1" t="s">
        <v>34</v>
      </c>
      <c r="I18" s="1">
        <v>41.886744999999998</v>
      </c>
      <c r="J18" s="1">
        <v>-87.613212000000004</v>
      </c>
      <c r="K18" s="1">
        <v>41.886642999999999</v>
      </c>
      <c r="L18" s="1">
        <v>-87.613166000000007</v>
      </c>
      <c r="M18" s="1" t="s">
        <v>31</v>
      </c>
      <c r="N18" s="5">
        <f t="shared" si="0"/>
        <v>1.3159722220734693E-2</v>
      </c>
      <c r="O18" s="1">
        <f t="shared" si="1"/>
        <v>5</v>
      </c>
      <c r="P18" s="1" t="str">
        <f t="shared" si="2"/>
        <v>Thu</v>
      </c>
    </row>
    <row r="19" spans="1:16" x14ac:dyDescent="0.25">
      <c r="A19" s="1" t="s">
        <v>54</v>
      </c>
      <c r="B19" s="1" t="s">
        <v>14</v>
      </c>
      <c r="C19" s="2">
        <v>44939.232442129629</v>
      </c>
      <c r="D19" s="2">
        <v>44939.247106481482</v>
      </c>
      <c r="E19" s="1" t="s">
        <v>23</v>
      </c>
      <c r="F19" s="1">
        <v>13011</v>
      </c>
      <c r="G19" s="1" t="s">
        <v>23</v>
      </c>
      <c r="H19" s="1">
        <v>13011</v>
      </c>
      <c r="I19" s="1">
        <v>41.879624</v>
      </c>
      <c r="J19" s="1">
        <v>-87.639627000000004</v>
      </c>
      <c r="K19" s="1">
        <v>41.879525999999998</v>
      </c>
      <c r="L19" s="1">
        <v>-87.639559000000006</v>
      </c>
      <c r="M19" s="1" t="s">
        <v>31</v>
      </c>
      <c r="N19" s="5">
        <f t="shared" si="0"/>
        <v>1.4664351852843538E-2</v>
      </c>
      <c r="O19" s="1">
        <f t="shared" si="1"/>
        <v>6</v>
      </c>
      <c r="P19" s="1" t="str">
        <f t="shared" si="2"/>
        <v>Fri</v>
      </c>
    </row>
    <row r="20" spans="1:16" x14ac:dyDescent="0.25">
      <c r="A20" s="1" t="s">
        <v>55</v>
      </c>
      <c r="B20" s="1" t="s">
        <v>37</v>
      </c>
      <c r="C20" s="2">
        <v>44941.209803240738</v>
      </c>
      <c r="D20" s="2">
        <v>44941.226388888892</v>
      </c>
      <c r="E20" s="1" t="s">
        <v>47</v>
      </c>
      <c r="F20" s="1" t="s">
        <v>48</v>
      </c>
      <c r="G20" s="1" t="s">
        <v>35</v>
      </c>
      <c r="H20" s="1">
        <v>13022</v>
      </c>
      <c r="I20" s="1">
        <v>41.882018000000002</v>
      </c>
      <c r="J20" s="1">
        <v>-87.641362000000001</v>
      </c>
      <c r="K20" s="1">
        <v>41.891795000000002</v>
      </c>
      <c r="L20" s="1">
        <v>-87.611863999999997</v>
      </c>
      <c r="M20" s="1" t="s">
        <v>17</v>
      </c>
      <c r="N20" s="5">
        <f t="shared" si="0"/>
        <v>1.658564815443242E-2</v>
      </c>
      <c r="O20" s="1">
        <f t="shared" si="1"/>
        <v>1</v>
      </c>
      <c r="P20" s="1" t="str">
        <f t="shared" si="2"/>
        <v>Sun</v>
      </c>
    </row>
    <row r="21" spans="1:16" x14ac:dyDescent="0.25">
      <c r="A21" s="1" t="s">
        <v>56</v>
      </c>
      <c r="B21" s="1" t="s">
        <v>14</v>
      </c>
      <c r="C21" s="2">
        <v>44944.194930555554</v>
      </c>
      <c r="D21" s="2">
        <v>44944.204930555556</v>
      </c>
      <c r="E21" s="1" t="s">
        <v>57</v>
      </c>
      <c r="F21" s="1" t="s">
        <v>58</v>
      </c>
      <c r="G21" s="1" t="s">
        <v>57</v>
      </c>
      <c r="H21" s="1" t="s">
        <v>58</v>
      </c>
      <c r="I21" s="1">
        <v>41.911710999999997</v>
      </c>
      <c r="J21" s="1">
        <v>-87.635154</v>
      </c>
      <c r="K21" s="1">
        <v>41.912601000000002</v>
      </c>
      <c r="L21" s="1">
        <v>-87.635150999999993</v>
      </c>
      <c r="M21" s="1" t="s">
        <v>17</v>
      </c>
      <c r="N21" s="5">
        <f t="shared" si="0"/>
        <v>1.0000000002037268E-2</v>
      </c>
      <c r="O21" s="1">
        <f t="shared" si="1"/>
        <v>4</v>
      </c>
      <c r="P21" s="1" t="str">
        <f t="shared" si="2"/>
        <v>Wed</v>
      </c>
    </row>
    <row r="22" spans="1:16" x14ac:dyDescent="0.25">
      <c r="A22" s="1" t="s">
        <v>59</v>
      </c>
      <c r="B22" s="1" t="s">
        <v>14</v>
      </c>
      <c r="C22" s="2">
        <v>44944.347384259258</v>
      </c>
      <c r="D22" s="2">
        <v>44944.352534722224</v>
      </c>
      <c r="E22" s="1" t="s">
        <v>30</v>
      </c>
      <c r="F22" s="1">
        <v>13137</v>
      </c>
      <c r="G22" s="1" t="s">
        <v>24</v>
      </c>
      <c r="H22" s="1">
        <v>13263</v>
      </c>
      <c r="I22" s="1">
        <v>41.937261999999997</v>
      </c>
      <c r="J22" s="1">
        <v>-87.644360000000006</v>
      </c>
      <c r="K22" s="1">
        <v>41.885199</v>
      </c>
      <c r="L22" s="1">
        <v>-87.619839999999996</v>
      </c>
      <c r="M22" s="1" t="s">
        <v>17</v>
      </c>
      <c r="N22" s="5">
        <f t="shared" si="0"/>
        <v>5.1504629664123058E-3</v>
      </c>
      <c r="O22" s="1">
        <f t="shared" si="1"/>
        <v>4</v>
      </c>
      <c r="P22" s="1" t="str">
        <f t="shared" si="2"/>
        <v>Wed</v>
      </c>
    </row>
    <row r="23" spans="1:16" x14ac:dyDescent="0.25">
      <c r="A23" s="1" t="s">
        <v>60</v>
      </c>
      <c r="B23" s="1" t="s">
        <v>14</v>
      </c>
      <c r="C23" s="2">
        <v>44944.841620370367</v>
      </c>
      <c r="D23" s="2">
        <v>44944.849386574075</v>
      </c>
      <c r="E23" s="1" t="s">
        <v>16</v>
      </c>
      <c r="F23" s="1">
        <v>13045</v>
      </c>
      <c r="G23" s="1" t="s">
        <v>16</v>
      </c>
      <c r="H23" s="1">
        <v>13045</v>
      </c>
      <c r="I23" s="1">
        <v>41.893996999999999</v>
      </c>
      <c r="J23" s="1">
        <v>-87.629048999999995</v>
      </c>
      <c r="K23" s="1">
        <v>41.893554000000002</v>
      </c>
      <c r="L23" s="1">
        <v>-87.629240999999993</v>
      </c>
      <c r="M23" s="1" t="s">
        <v>17</v>
      </c>
      <c r="N23" s="5">
        <f t="shared" si="0"/>
        <v>7.7662037074333057E-3</v>
      </c>
      <c r="O23" s="1">
        <f t="shared" si="1"/>
        <v>4</v>
      </c>
      <c r="P23" s="1" t="str">
        <f t="shared" si="2"/>
        <v>Wed</v>
      </c>
    </row>
    <row r="24" spans="1:16" x14ac:dyDescent="0.25">
      <c r="A24" s="1" t="s">
        <v>61</v>
      </c>
      <c r="B24" s="1" t="s">
        <v>14</v>
      </c>
      <c r="C24" s="2">
        <v>44944.966597222221</v>
      </c>
      <c r="D24" s="2">
        <v>44944.990879629629</v>
      </c>
      <c r="E24" s="1" t="s">
        <v>43</v>
      </c>
      <c r="F24" s="1" t="s">
        <v>44</v>
      </c>
      <c r="G24" s="1" t="s">
        <v>30</v>
      </c>
      <c r="H24" s="1">
        <v>13137</v>
      </c>
      <c r="I24" s="1">
        <v>41.902918</v>
      </c>
      <c r="J24" s="1">
        <v>-87.633872999999994</v>
      </c>
      <c r="K24" s="1">
        <v>41.937257000000002</v>
      </c>
      <c r="L24" s="1">
        <v>-87.644030000000001</v>
      </c>
      <c r="M24" s="1" t="s">
        <v>31</v>
      </c>
      <c r="N24" s="5">
        <f t="shared" si="0"/>
        <v>2.4282407408463769E-2</v>
      </c>
      <c r="O24" s="1">
        <f t="shared" si="1"/>
        <v>4</v>
      </c>
      <c r="P24" s="1" t="str">
        <f t="shared" si="2"/>
        <v>Wed</v>
      </c>
    </row>
    <row r="25" spans="1:16" x14ac:dyDescent="0.25">
      <c r="A25" s="1" t="s">
        <v>62</v>
      </c>
      <c r="B25" s="1" t="s">
        <v>37</v>
      </c>
      <c r="C25" s="2">
        <v>44945.175833333335</v>
      </c>
      <c r="D25" s="2">
        <v>44945.181701388887</v>
      </c>
      <c r="E25" s="1" t="s">
        <v>33</v>
      </c>
      <c r="F25" s="1" t="s">
        <v>34</v>
      </c>
      <c r="G25" s="1" t="s">
        <v>27</v>
      </c>
      <c r="H25" s="1" t="s">
        <v>28</v>
      </c>
      <c r="I25" s="1">
        <v>41.887146000000001</v>
      </c>
      <c r="J25" s="1">
        <v>-87.612671000000006</v>
      </c>
      <c r="K25" s="1">
        <v>41.889088000000001</v>
      </c>
      <c r="L25" s="1">
        <v>-87.638515999999996</v>
      </c>
      <c r="M25" s="1" t="s">
        <v>31</v>
      </c>
      <c r="N25" s="5">
        <f t="shared" si="0"/>
        <v>5.8680555521277711E-3</v>
      </c>
      <c r="O25" s="1">
        <f t="shared" si="1"/>
        <v>5</v>
      </c>
      <c r="P25" s="1" t="str">
        <f t="shared" si="2"/>
        <v>Thu</v>
      </c>
    </row>
    <row r="26" spans="1:16" x14ac:dyDescent="0.25">
      <c r="A26" s="1" t="s">
        <v>63</v>
      </c>
      <c r="B26" s="1" t="s">
        <v>14</v>
      </c>
      <c r="C26" s="2">
        <v>44947.417569444442</v>
      </c>
      <c r="D26" s="2">
        <v>44947.42324074074</v>
      </c>
      <c r="E26" s="1" t="s">
        <v>30</v>
      </c>
      <c r="F26" s="1">
        <v>13137</v>
      </c>
      <c r="G26" s="1" t="s">
        <v>30</v>
      </c>
      <c r="H26" s="1">
        <v>13137</v>
      </c>
      <c r="I26" s="1">
        <v>41.93779</v>
      </c>
      <c r="J26" s="1">
        <v>-87.644576999999998</v>
      </c>
      <c r="K26" s="1">
        <v>41.938051999999999</v>
      </c>
      <c r="L26" s="1">
        <v>-87.643765999999999</v>
      </c>
      <c r="M26" s="1" t="s">
        <v>31</v>
      </c>
      <c r="N26" s="5">
        <f t="shared" si="0"/>
        <v>5.6712962978053838E-3</v>
      </c>
      <c r="O26" s="1">
        <f t="shared" si="1"/>
        <v>7</v>
      </c>
      <c r="P26" s="1" t="str">
        <f t="shared" si="2"/>
        <v>Sat</v>
      </c>
    </row>
    <row r="27" spans="1:16" x14ac:dyDescent="0.25">
      <c r="A27" s="1" t="s">
        <v>64</v>
      </c>
      <c r="B27" s="1" t="s">
        <v>14</v>
      </c>
      <c r="C27" s="2">
        <v>44948.651608796295</v>
      </c>
      <c r="D27" s="2">
        <v>44948.66815972222</v>
      </c>
      <c r="E27" s="1" t="s">
        <v>43</v>
      </c>
      <c r="F27" s="1" t="s">
        <v>44</v>
      </c>
      <c r="G27" s="1" t="s">
        <v>35</v>
      </c>
      <c r="H27" s="1">
        <v>13022</v>
      </c>
      <c r="I27" s="1">
        <v>41.903675</v>
      </c>
      <c r="J27" s="1">
        <v>-87.634764000000004</v>
      </c>
      <c r="K27" s="1">
        <v>41.892076000000003</v>
      </c>
      <c r="L27" s="1">
        <v>-87.612245000000001</v>
      </c>
      <c r="M27" s="1" t="s">
        <v>17</v>
      </c>
      <c r="N27" s="5">
        <f t="shared" si="0"/>
        <v>1.6550925924093463E-2</v>
      </c>
      <c r="O27" s="1">
        <f t="shared" si="1"/>
        <v>1</v>
      </c>
      <c r="P27" s="1" t="str">
        <f t="shared" si="2"/>
        <v>Sun</v>
      </c>
    </row>
    <row r="28" spans="1:16" x14ac:dyDescent="0.25">
      <c r="A28" s="1" t="s">
        <v>65</v>
      </c>
      <c r="B28" s="1" t="s">
        <v>14</v>
      </c>
      <c r="C28" s="2">
        <v>44948.853807870371</v>
      </c>
      <c r="D28" s="2">
        <v>44948.886956018519</v>
      </c>
      <c r="E28" s="1" t="s">
        <v>66</v>
      </c>
      <c r="F28" s="1">
        <v>13042</v>
      </c>
      <c r="G28" s="1" t="s">
        <v>21</v>
      </c>
      <c r="H28" s="1">
        <v>21213</v>
      </c>
      <c r="I28" s="1">
        <v>41.900894000000001</v>
      </c>
      <c r="J28" s="1">
        <v>-87.623926999999995</v>
      </c>
      <c r="K28" s="1">
        <v>41.834879000000001</v>
      </c>
      <c r="L28" s="1">
        <v>-87.625643999999994</v>
      </c>
      <c r="M28" s="1" t="s">
        <v>17</v>
      </c>
      <c r="N28" s="5">
        <f t="shared" si="0"/>
        <v>3.3148148148029577E-2</v>
      </c>
      <c r="O28" s="1">
        <f t="shared" si="1"/>
        <v>1</v>
      </c>
      <c r="P28" s="1" t="str">
        <f t="shared" si="2"/>
        <v>Sun</v>
      </c>
    </row>
    <row r="29" spans="1:16" x14ac:dyDescent="0.25">
      <c r="A29" s="1" t="s">
        <v>67</v>
      </c>
      <c r="B29" s="1" t="s">
        <v>14</v>
      </c>
      <c r="C29" s="2">
        <v>44948.946481481478</v>
      </c>
      <c r="D29" s="2">
        <v>44948.962523148148</v>
      </c>
      <c r="E29" s="1" t="s">
        <v>24</v>
      </c>
      <c r="F29" s="1">
        <v>13263</v>
      </c>
      <c r="G29" s="1" t="s">
        <v>66</v>
      </c>
      <c r="H29" s="1">
        <v>13042</v>
      </c>
      <c r="I29" s="1">
        <v>41.885078999999998</v>
      </c>
      <c r="J29" s="1">
        <v>-87.619039000000001</v>
      </c>
      <c r="K29" s="1">
        <v>41.901088000000001</v>
      </c>
      <c r="L29" s="1">
        <v>-87.624028999999993</v>
      </c>
      <c r="M29" s="1" t="s">
        <v>17</v>
      </c>
      <c r="N29" s="5">
        <f t="shared" si="0"/>
        <v>1.6041666669480037E-2</v>
      </c>
      <c r="O29" s="1">
        <f t="shared" si="1"/>
        <v>1</v>
      </c>
      <c r="P29" s="1" t="str">
        <f t="shared" si="2"/>
        <v>Sun</v>
      </c>
    </row>
    <row r="30" spans="1:16" x14ac:dyDescent="0.25">
      <c r="A30" s="1" t="s">
        <v>68</v>
      </c>
      <c r="B30" s="1" t="s">
        <v>14</v>
      </c>
      <c r="C30" s="2">
        <v>44949.695752314816</v>
      </c>
      <c r="D30" s="2">
        <v>44949.707245370373</v>
      </c>
      <c r="E30" s="1" t="s">
        <v>15</v>
      </c>
      <c r="F30" s="1">
        <v>13008</v>
      </c>
      <c r="G30" s="1" t="s">
        <v>16</v>
      </c>
      <c r="H30" s="1">
        <v>13045</v>
      </c>
      <c r="I30" s="1">
        <v>41.881464999999999</v>
      </c>
      <c r="J30" s="1">
        <v>-87.624082999999999</v>
      </c>
      <c r="K30" s="1">
        <v>41.894030999999998</v>
      </c>
      <c r="L30" s="1">
        <v>-87.629133999999993</v>
      </c>
      <c r="M30" s="1" t="s">
        <v>17</v>
      </c>
      <c r="N30" s="5">
        <f t="shared" si="0"/>
        <v>1.1493055557366461E-2</v>
      </c>
      <c r="O30" s="1">
        <f t="shared" si="1"/>
        <v>2</v>
      </c>
      <c r="P30" s="1" t="str">
        <f t="shared" si="2"/>
        <v>Mon</v>
      </c>
    </row>
    <row r="31" spans="1:16" x14ac:dyDescent="0.25">
      <c r="A31" s="1" t="s">
        <v>69</v>
      </c>
      <c r="B31" s="1" t="s">
        <v>14</v>
      </c>
      <c r="C31" s="2">
        <v>44951.333495370367</v>
      </c>
      <c r="D31" s="2">
        <v>44951.340196759258</v>
      </c>
      <c r="E31" s="1" t="s">
        <v>30</v>
      </c>
      <c r="F31" s="1">
        <v>13137</v>
      </c>
      <c r="G31" s="1" t="s">
        <v>43</v>
      </c>
      <c r="H31" s="1" t="s">
        <v>44</v>
      </c>
      <c r="I31" s="1">
        <v>41.937848000000002</v>
      </c>
      <c r="J31" s="1">
        <v>-87.643752000000006</v>
      </c>
      <c r="K31" s="1">
        <v>41.903336000000003</v>
      </c>
      <c r="L31" s="1">
        <v>-87.634735000000006</v>
      </c>
      <c r="M31" s="1" t="s">
        <v>31</v>
      </c>
      <c r="N31" s="5">
        <f t="shared" si="0"/>
        <v>6.701388891087845E-3</v>
      </c>
      <c r="O31" s="1">
        <f t="shared" si="1"/>
        <v>4</v>
      </c>
      <c r="P31" s="1" t="str">
        <f t="shared" si="2"/>
        <v>Wed</v>
      </c>
    </row>
    <row r="32" spans="1:16" x14ac:dyDescent="0.25">
      <c r="A32" s="1" t="s">
        <v>70</v>
      </c>
      <c r="B32" s="1" t="s">
        <v>37</v>
      </c>
      <c r="C32" s="2">
        <v>44951.656527777777</v>
      </c>
      <c r="D32" s="2">
        <v>44951.678032407406</v>
      </c>
      <c r="E32" s="1" t="s">
        <v>16</v>
      </c>
      <c r="F32" s="1">
        <v>13045</v>
      </c>
      <c r="G32" s="1" t="s">
        <v>16</v>
      </c>
      <c r="H32" s="1">
        <v>13045</v>
      </c>
      <c r="I32" s="1">
        <v>41.894162000000001</v>
      </c>
      <c r="J32" s="1">
        <v>-87.629773999999998</v>
      </c>
      <c r="K32" s="1">
        <v>41.894080000000002</v>
      </c>
      <c r="L32" s="1">
        <v>-87.628818999999993</v>
      </c>
      <c r="M32" s="1" t="s">
        <v>31</v>
      </c>
      <c r="N32" s="5">
        <f t="shared" si="0"/>
        <v>2.1504629628907423E-2</v>
      </c>
      <c r="O32" s="1">
        <f t="shared" si="1"/>
        <v>4</v>
      </c>
      <c r="P32" s="1" t="str">
        <f t="shared" si="2"/>
        <v>Wed</v>
      </c>
    </row>
    <row r="33" spans="1:16" x14ac:dyDescent="0.25">
      <c r="A33" s="1" t="s">
        <v>71</v>
      </c>
      <c r="B33" s="1" t="s">
        <v>37</v>
      </c>
      <c r="C33" s="2">
        <v>44951.796620370369</v>
      </c>
      <c r="D33" s="2">
        <v>44951.805648148147</v>
      </c>
      <c r="E33" s="1" t="s">
        <v>47</v>
      </c>
      <c r="F33" s="1" t="s">
        <v>48</v>
      </c>
      <c r="G33" s="1" t="s">
        <v>43</v>
      </c>
      <c r="H33" s="1" t="s">
        <v>44</v>
      </c>
      <c r="I33" s="1">
        <v>41.882227</v>
      </c>
      <c r="J33" s="1">
        <v>-87.641232000000002</v>
      </c>
      <c r="K33" s="1">
        <v>41.903514000000001</v>
      </c>
      <c r="L33" s="1">
        <v>-87.634372999999997</v>
      </c>
      <c r="M33" s="1" t="s">
        <v>17</v>
      </c>
      <c r="N33" s="5">
        <f t="shared" si="0"/>
        <v>9.0277777781011537E-3</v>
      </c>
      <c r="O33" s="1">
        <f t="shared" si="1"/>
        <v>4</v>
      </c>
      <c r="P33" s="1" t="str">
        <f t="shared" si="2"/>
        <v>Wed</v>
      </c>
    </row>
    <row r="34" spans="1:16" x14ac:dyDescent="0.25">
      <c r="A34" s="1" t="s">
        <v>72</v>
      </c>
      <c r="B34" s="1" t="s">
        <v>37</v>
      </c>
      <c r="C34" s="2">
        <v>44952.125381944446</v>
      </c>
      <c r="D34" s="2">
        <v>44952.130624999998</v>
      </c>
      <c r="E34" s="1" t="s">
        <v>15</v>
      </c>
      <c r="F34" s="1">
        <v>13008</v>
      </c>
      <c r="G34" s="1" t="s">
        <v>15</v>
      </c>
      <c r="H34" s="1">
        <v>13008</v>
      </c>
      <c r="I34" s="1">
        <v>41.881495000000001</v>
      </c>
      <c r="J34" s="1">
        <v>-87.624033999999995</v>
      </c>
      <c r="K34" s="1">
        <v>41.881498000000001</v>
      </c>
      <c r="L34" s="1">
        <v>-87.624151999999995</v>
      </c>
      <c r="M34" s="1" t="s">
        <v>31</v>
      </c>
      <c r="N34" s="5">
        <f t="shared" si="0"/>
        <v>5.2430555515456945E-3</v>
      </c>
      <c r="O34" s="1">
        <f t="shared" si="1"/>
        <v>5</v>
      </c>
      <c r="P34" s="1" t="str">
        <f t="shared" si="2"/>
        <v>Thu</v>
      </c>
    </row>
    <row r="35" spans="1:16" x14ac:dyDescent="0.25">
      <c r="A35" s="1" t="s">
        <v>73</v>
      </c>
      <c r="B35" s="1" t="s">
        <v>14</v>
      </c>
      <c r="C35" s="2">
        <v>44952.351597222223</v>
      </c>
      <c r="D35" s="2">
        <v>44952.360405092593</v>
      </c>
      <c r="E35" s="1" t="s">
        <v>47</v>
      </c>
      <c r="F35" s="1" t="s">
        <v>48</v>
      </c>
      <c r="G35" s="1" t="s">
        <v>43</v>
      </c>
      <c r="H35" s="1" t="s">
        <v>44</v>
      </c>
      <c r="I35" s="1">
        <v>41.881887999999996</v>
      </c>
      <c r="J35" s="1">
        <v>-87.640687999999997</v>
      </c>
      <c r="K35" s="1">
        <v>41.902991</v>
      </c>
      <c r="L35" s="1">
        <v>-87.633842000000001</v>
      </c>
      <c r="M35" s="1" t="s">
        <v>17</v>
      </c>
      <c r="N35" s="5">
        <f t="shared" si="0"/>
        <v>8.8078703702194616E-3</v>
      </c>
      <c r="O35" s="1">
        <f t="shared" si="1"/>
        <v>5</v>
      </c>
      <c r="P35" s="1" t="str">
        <f t="shared" si="2"/>
        <v>Thu</v>
      </c>
    </row>
    <row r="36" spans="1:16" x14ac:dyDescent="0.25">
      <c r="A36" s="1" t="s">
        <v>74</v>
      </c>
      <c r="B36" s="1" t="s">
        <v>37</v>
      </c>
      <c r="C36" s="2">
        <v>44952.845462962963</v>
      </c>
      <c r="D36" s="2">
        <v>44952.897939814815</v>
      </c>
      <c r="E36" s="1" t="s">
        <v>47</v>
      </c>
      <c r="F36" s="1" t="s">
        <v>48</v>
      </c>
      <c r="G36" s="1" t="s">
        <v>27</v>
      </c>
      <c r="H36" s="1" t="s">
        <v>28</v>
      </c>
      <c r="I36" s="1">
        <v>41.882536999999999</v>
      </c>
      <c r="J36" s="1">
        <v>-87.640872000000002</v>
      </c>
      <c r="K36" s="1">
        <v>41.888897999999998</v>
      </c>
      <c r="L36" s="1">
        <v>-87.638924000000003</v>
      </c>
      <c r="M36" s="1" t="s">
        <v>31</v>
      </c>
      <c r="N36" s="5">
        <f t="shared" si="0"/>
        <v>5.2476851851679385E-2</v>
      </c>
      <c r="O36" s="1">
        <f t="shared" si="1"/>
        <v>5</v>
      </c>
      <c r="P36" s="1" t="str">
        <f t="shared" si="2"/>
        <v>Thu</v>
      </c>
    </row>
    <row r="37" spans="1:16" x14ac:dyDescent="0.25">
      <c r="A37" s="1" t="s">
        <v>75</v>
      </c>
      <c r="B37" s="1" t="s">
        <v>14</v>
      </c>
      <c r="C37" s="2">
        <v>44952.944456018522</v>
      </c>
      <c r="D37" s="2">
        <v>44952.949340277781</v>
      </c>
      <c r="E37" s="1" t="s">
        <v>30</v>
      </c>
      <c r="F37" s="1">
        <v>13137</v>
      </c>
      <c r="G37" s="1" t="s">
        <v>16</v>
      </c>
      <c r="H37" s="1">
        <v>13045</v>
      </c>
      <c r="I37" s="1">
        <v>41.937579999999997</v>
      </c>
      <c r="J37" s="1">
        <v>-87.644492999999997</v>
      </c>
      <c r="K37" s="1">
        <v>41.894148999999999</v>
      </c>
      <c r="L37" s="1">
        <v>-87.628996000000001</v>
      </c>
      <c r="M37" s="1" t="s">
        <v>31</v>
      </c>
      <c r="N37" s="5">
        <f t="shared" si="0"/>
        <v>4.8842592586879618E-3</v>
      </c>
      <c r="O37" s="1">
        <f t="shared" si="1"/>
        <v>5</v>
      </c>
      <c r="P37" s="1" t="str">
        <f t="shared" si="2"/>
        <v>Thu</v>
      </c>
    </row>
    <row r="38" spans="1:16" x14ac:dyDescent="0.25">
      <c r="A38" s="1" t="s">
        <v>76</v>
      </c>
      <c r="B38" s="1" t="s">
        <v>14</v>
      </c>
      <c r="C38" s="2">
        <v>44954.243113425924</v>
      </c>
      <c r="D38" s="2">
        <v>44954.256689814814</v>
      </c>
      <c r="E38" s="1" t="s">
        <v>23</v>
      </c>
      <c r="F38" s="1">
        <v>13011</v>
      </c>
      <c r="G38" s="1" t="s">
        <v>41</v>
      </c>
      <c r="H38" s="1" t="s">
        <v>42</v>
      </c>
      <c r="I38" s="1">
        <v>41.878929999999997</v>
      </c>
      <c r="J38" s="1">
        <v>-87.639489999999995</v>
      </c>
      <c r="K38" s="1">
        <v>41.902892000000001</v>
      </c>
      <c r="L38" s="1">
        <v>-87.631397000000007</v>
      </c>
      <c r="M38" s="1" t="s">
        <v>17</v>
      </c>
      <c r="N38" s="5">
        <f t="shared" si="0"/>
        <v>1.357638889021473E-2</v>
      </c>
      <c r="O38" s="1">
        <f t="shared" si="1"/>
        <v>7</v>
      </c>
      <c r="P38" s="1" t="str">
        <f t="shared" si="2"/>
        <v>Sat</v>
      </c>
    </row>
    <row r="39" spans="1:16" x14ac:dyDescent="0.25">
      <c r="A39" s="1" t="s">
        <v>77</v>
      </c>
      <c r="B39" s="1" t="s">
        <v>37</v>
      </c>
      <c r="C39" s="2">
        <v>44954.724097222221</v>
      </c>
      <c r="D39" s="2">
        <v>44954.736643518518</v>
      </c>
      <c r="E39" s="1" t="s">
        <v>24</v>
      </c>
      <c r="F39" s="1">
        <v>13263</v>
      </c>
      <c r="G39" s="1" t="s">
        <v>30</v>
      </c>
      <c r="H39" s="1">
        <v>13137</v>
      </c>
      <c r="I39" s="1">
        <v>41.884492999999999</v>
      </c>
      <c r="J39" s="1">
        <v>-87.62</v>
      </c>
      <c r="K39" s="1">
        <v>41.937164000000003</v>
      </c>
      <c r="L39" s="1">
        <v>-87.643630000000002</v>
      </c>
      <c r="M39" s="1" t="s">
        <v>31</v>
      </c>
      <c r="N39" s="5">
        <f t="shared" si="0"/>
        <v>1.2546296296932269E-2</v>
      </c>
      <c r="O39" s="1">
        <f t="shared" si="1"/>
        <v>7</v>
      </c>
      <c r="P39" s="1" t="str">
        <f t="shared" si="2"/>
        <v>Sat</v>
      </c>
    </row>
    <row r="40" spans="1:16" x14ac:dyDescent="0.25">
      <c r="A40" s="1" t="s">
        <v>78</v>
      </c>
      <c r="B40" s="1" t="s">
        <v>37</v>
      </c>
      <c r="C40" s="2">
        <v>44956.156041666669</v>
      </c>
      <c r="D40" s="2">
        <v>44956.159675925926</v>
      </c>
      <c r="E40" s="1" t="s">
        <v>33</v>
      </c>
      <c r="F40" s="1" t="s">
        <v>34</v>
      </c>
      <c r="G40" s="1" t="s">
        <v>41</v>
      </c>
      <c r="H40" s="1" t="s">
        <v>42</v>
      </c>
      <c r="I40" s="1">
        <v>41.886592</v>
      </c>
      <c r="J40" s="1">
        <v>-87.613185999999999</v>
      </c>
      <c r="K40" s="1">
        <v>41.902661999999999</v>
      </c>
      <c r="L40" s="1">
        <v>-87.631321</v>
      </c>
      <c r="M40" s="1" t="s">
        <v>17</v>
      </c>
      <c r="N40" s="5">
        <f t="shared" si="0"/>
        <v>3.6342592575238086E-3</v>
      </c>
      <c r="O40" s="1">
        <f t="shared" si="1"/>
        <v>2</v>
      </c>
      <c r="P40" s="1" t="str">
        <f t="shared" si="2"/>
        <v>Mon</v>
      </c>
    </row>
    <row r="41" spans="1:16" x14ac:dyDescent="0.25">
      <c r="A41" s="1" t="s">
        <v>79</v>
      </c>
      <c r="B41" s="1" t="s">
        <v>14</v>
      </c>
      <c r="C41" s="2">
        <v>44958.604398148149</v>
      </c>
      <c r="D41" s="2">
        <v>44958.611377314817</v>
      </c>
      <c r="E41" s="1" t="s">
        <v>24</v>
      </c>
      <c r="F41" s="1">
        <v>13263</v>
      </c>
      <c r="G41" s="1" t="s">
        <v>27</v>
      </c>
      <c r="H41" s="1" t="s">
        <v>28</v>
      </c>
      <c r="I41" s="1">
        <v>41.884433000000001</v>
      </c>
      <c r="J41" s="1">
        <v>-87.619142999999994</v>
      </c>
      <c r="K41" s="1">
        <v>41.889557000000003</v>
      </c>
      <c r="L41" s="1">
        <v>-87.638135000000005</v>
      </c>
      <c r="M41" s="1" t="s">
        <v>31</v>
      </c>
      <c r="N41" s="5">
        <f t="shared" si="0"/>
        <v>6.9791666683158837E-3</v>
      </c>
      <c r="O41" s="1">
        <f t="shared" si="1"/>
        <v>4</v>
      </c>
      <c r="P41" s="1" t="str">
        <f t="shared" si="2"/>
        <v>Wed</v>
      </c>
    </row>
    <row r="42" spans="1:16" x14ac:dyDescent="0.25">
      <c r="A42" s="1" t="s">
        <v>80</v>
      </c>
      <c r="B42" s="1" t="s">
        <v>37</v>
      </c>
      <c r="C42" s="2">
        <v>44960.077708333331</v>
      </c>
      <c r="D42" s="2">
        <v>44960.08353009259</v>
      </c>
      <c r="E42" s="1" t="s">
        <v>41</v>
      </c>
      <c r="F42" s="1" t="s">
        <v>42</v>
      </c>
      <c r="G42" s="1" t="s">
        <v>30</v>
      </c>
      <c r="H42" s="1">
        <v>13137</v>
      </c>
      <c r="I42" s="1">
        <v>41.902748000000003</v>
      </c>
      <c r="J42" s="1">
        <v>-87.631219000000002</v>
      </c>
      <c r="K42" s="1">
        <v>41.937465000000003</v>
      </c>
      <c r="L42" s="1">
        <v>-87.643625999999998</v>
      </c>
      <c r="M42" s="1" t="s">
        <v>17</v>
      </c>
      <c r="N42" s="5">
        <f t="shared" si="0"/>
        <v>5.8217592595610768E-3</v>
      </c>
      <c r="O42" s="1">
        <f t="shared" si="1"/>
        <v>6</v>
      </c>
      <c r="P42" s="1" t="str">
        <f t="shared" si="2"/>
        <v>Fri</v>
      </c>
    </row>
    <row r="43" spans="1:16" x14ac:dyDescent="0.25">
      <c r="A43" s="1" t="s">
        <v>81</v>
      </c>
      <c r="B43" s="1" t="s">
        <v>14</v>
      </c>
      <c r="C43" s="2">
        <v>44961.099108796298</v>
      </c>
      <c r="D43" s="2">
        <v>44961.117534722223</v>
      </c>
      <c r="E43" s="1" t="s">
        <v>27</v>
      </c>
      <c r="F43" s="1" t="s">
        <v>28</v>
      </c>
      <c r="G43" s="1" t="s">
        <v>19</v>
      </c>
      <c r="H43" s="1" t="s">
        <v>20</v>
      </c>
      <c r="I43" s="1">
        <v>41.888945999999997</v>
      </c>
      <c r="J43" s="1">
        <v>-87.638728</v>
      </c>
      <c r="K43" s="1">
        <v>41.92671</v>
      </c>
      <c r="L43" s="1">
        <v>-87.630610000000004</v>
      </c>
      <c r="M43" s="1" t="s">
        <v>17</v>
      </c>
      <c r="N43" s="5">
        <f t="shared" si="0"/>
        <v>1.8425925925839692E-2</v>
      </c>
      <c r="O43" s="1">
        <f t="shared" si="1"/>
        <v>7</v>
      </c>
      <c r="P43" s="1" t="str">
        <f t="shared" si="2"/>
        <v>Sat</v>
      </c>
    </row>
    <row r="44" spans="1:16" x14ac:dyDescent="0.25">
      <c r="A44" s="1" t="s">
        <v>82</v>
      </c>
      <c r="B44" s="1" t="s">
        <v>37</v>
      </c>
      <c r="C44" s="2">
        <v>44964.263738425929</v>
      </c>
      <c r="D44" s="2">
        <v>44964.275590277779</v>
      </c>
      <c r="E44" s="1" t="s">
        <v>47</v>
      </c>
      <c r="F44" s="1" t="s">
        <v>48</v>
      </c>
      <c r="G44" s="1" t="s">
        <v>30</v>
      </c>
      <c r="H44" s="1">
        <v>13137</v>
      </c>
      <c r="I44" s="1">
        <v>41.882624999999997</v>
      </c>
      <c r="J44" s="1">
        <v>-87.641050000000007</v>
      </c>
      <c r="K44" s="1">
        <v>41.937989000000002</v>
      </c>
      <c r="L44" s="1">
        <v>-87.644026999999994</v>
      </c>
      <c r="M44" s="1" t="s">
        <v>17</v>
      </c>
      <c r="N44" s="5">
        <f t="shared" si="0"/>
        <v>1.1851851850224193E-2</v>
      </c>
      <c r="O44" s="1">
        <f t="shared" si="1"/>
        <v>3</v>
      </c>
      <c r="P44" s="1" t="str">
        <f t="shared" si="2"/>
        <v>Tue</v>
      </c>
    </row>
    <row r="45" spans="1:16" x14ac:dyDescent="0.25">
      <c r="A45" s="1" t="s">
        <v>83</v>
      </c>
      <c r="B45" s="1" t="s">
        <v>37</v>
      </c>
      <c r="C45" s="2">
        <v>44964.687592592592</v>
      </c>
      <c r="D45" s="2">
        <v>44964.725613425922</v>
      </c>
      <c r="E45" s="1" t="s">
        <v>30</v>
      </c>
      <c r="F45" s="1">
        <v>13137</v>
      </c>
      <c r="G45" s="1" t="s">
        <v>66</v>
      </c>
      <c r="H45" s="1">
        <v>13042</v>
      </c>
      <c r="I45" s="1">
        <v>41.937632000000001</v>
      </c>
      <c r="J45" s="1">
        <v>-87.644084000000007</v>
      </c>
      <c r="K45" s="1">
        <v>41.901150000000001</v>
      </c>
      <c r="L45" s="1">
        <v>-87.623440000000002</v>
      </c>
      <c r="M45" s="1" t="s">
        <v>31</v>
      </c>
      <c r="N45" s="5">
        <f t="shared" si="0"/>
        <v>3.8020833329937886E-2</v>
      </c>
      <c r="O45" s="1">
        <f t="shared" si="1"/>
        <v>3</v>
      </c>
      <c r="P45" s="1" t="str">
        <f t="shared" si="2"/>
        <v>Tue</v>
      </c>
    </row>
    <row r="46" spans="1:16" x14ac:dyDescent="0.25">
      <c r="A46" s="3" t="s">
        <v>84</v>
      </c>
      <c r="B46" s="1" t="s">
        <v>14</v>
      </c>
      <c r="C46" s="2">
        <v>44964.737395833334</v>
      </c>
      <c r="D46" s="2">
        <v>44964.749849537038</v>
      </c>
      <c r="E46" s="1" t="s">
        <v>15</v>
      </c>
      <c r="F46" s="1">
        <v>13008</v>
      </c>
      <c r="G46" s="1" t="s">
        <v>15</v>
      </c>
      <c r="H46" s="1">
        <v>13008</v>
      </c>
      <c r="I46" s="1">
        <v>41.880637999999998</v>
      </c>
      <c r="J46" s="1">
        <v>-87.624538999999999</v>
      </c>
      <c r="K46" s="1">
        <v>41.881188000000002</v>
      </c>
      <c r="L46" s="1">
        <v>-87.624048999999999</v>
      </c>
      <c r="M46" s="1" t="s">
        <v>17</v>
      </c>
      <c r="N46" s="5">
        <f t="shared" si="0"/>
        <v>1.2453703704522923E-2</v>
      </c>
      <c r="O46" s="1">
        <f t="shared" si="1"/>
        <v>3</v>
      </c>
      <c r="P46" s="1" t="str">
        <f t="shared" si="2"/>
        <v>Tue</v>
      </c>
    </row>
    <row r="47" spans="1:16" x14ac:dyDescent="0.25">
      <c r="A47" s="1" t="s">
        <v>85</v>
      </c>
      <c r="B47" s="1" t="s">
        <v>14</v>
      </c>
      <c r="C47" s="2">
        <v>44965.169768518521</v>
      </c>
      <c r="D47" s="2">
        <v>44965.195752314816</v>
      </c>
      <c r="E47" s="1" t="s">
        <v>27</v>
      </c>
      <c r="F47" s="1" t="s">
        <v>28</v>
      </c>
      <c r="G47" s="1" t="s">
        <v>23</v>
      </c>
      <c r="H47" s="1">
        <v>13011</v>
      </c>
      <c r="I47" s="1">
        <v>41.888866999999998</v>
      </c>
      <c r="J47" s="1">
        <v>-87.63888</v>
      </c>
      <c r="K47" s="1">
        <v>41.879066000000002</v>
      </c>
      <c r="L47" s="1">
        <v>-87.639517999999995</v>
      </c>
      <c r="M47" s="1" t="s">
        <v>17</v>
      </c>
      <c r="N47" s="5">
        <f t="shared" si="0"/>
        <v>2.5983796294895001E-2</v>
      </c>
      <c r="O47" s="1">
        <f t="shared" si="1"/>
        <v>4</v>
      </c>
      <c r="P47" s="1" t="str">
        <f t="shared" si="2"/>
        <v>Wed</v>
      </c>
    </row>
    <row r="48" spans="1:16" x14ac:dyDescent="0.25">
      <c r="A48" s="1" t="s">
        <v>86</v>
      </c>
      <c r="B48" s="1" t="s">
        <v>14</v>
      </c>
      <c r="C48" s="2">
        <v>44965.532418981478</v>
      </c>
      <c r="D48" s="2">
        <v>44965.561539351853</v>
      </c>
      <c r="E48" s="1" t="s">
        <v>15</v>
      </c>
      <c r="F48" s="1">
        <v>13008</v>
      </c>
      <c r="G48" s="1" t="s">
        <v>30</v>
      </c>
      <c r="H48" s="1">
        <v>13137</v>
      </c>
      <c r="I48" s="1">
        <v>41.880932000000001</v>
      </c>
      <c r="J48" s="1">
        <v>-87.623772000000002</v>
      </c>
      <c r="K48" s="1">
        <v>41.937095999999997</v>
      </c>
      <c r="L48" s="1">
        <v>-87.643949000000006</v>
      </c>
      <c r="M48" s="1" t="s">
        <v>31</v>
      </c>
      <c r="N48" s="5">
        <f t="shared" si="0"/>
        <v>2.9120370374585036E-2</v>
      </c>
      <c r="O48" s="1">
        <f t="shared" si="1"/>
        <v>4</v>
      </c>
      <c r="P48" s="1" t="str">
        <f t="shared" si="2"/>
        <v>Wed</v>
      </c>
    </row>
    <row r="49" spans="1:16" x14ac:dyDescent="0.25">
      <c r="A49" s="1" t="s">
        <v>87</v>
      </c>
      <c r="B49" s="1" t="s">
        <v>14</v>
      </c>
      <c r="C49" s="2">
        <v>44967.209004629629</v>
      </c>
      <c r="D49" s="2">
        <v>44967.228090277778</v>
      </c>
      <c r="E49" s="1" t="s">
        <v>23</v>
      </c>
      <c r="F49" s="1">
        <v>13011</v>
      </c>
      <c r="G49" s="1" t="s">
        <v>21</v>
      </c>
      <c r="H49" s="1">
        <v>21213</v>
      </c>
      <c r="I49" s="1">
        <v>41.878943</v>
      </c>
      <c r="J49" s="1">
        <v>-87.640326999999999</v>
      </c>
      <c r="K49" s="1">
        <v>41.83493</v>
      </c>
      <c r="L49" s="1">
        <v>-87.625929999999997</v>
      </c>
      <c r="M49" s="1" t="s">
        <v>17</v>
      </c>
      <c r="N49" s="5">
        <f t="shared" si="0"/>
        <v>1.9085648149484769E-2</v>
      </c>
      <c r="O49" s="1">
        <f t="shared" si="1"/>
        <v>6</v>
      </c>
      <c r="P49" s="1" t="str">
        <f t="shared" si="2"/>
        <v>Fri</v>
      </c>
    </row>
    <row r="50" spans="1:16" x14ac:dyDescent="0.25">
      <c r="A50" s="3" t="s">
        <v>88</v>
      </c>
      <c r="B50" s="1" t="s">
        <v>37</v>
      </c>
      <c r="C50" s="2">
        <v>44968.347696759258</v>
      </c>
      <c r="D50" s="2">
        <v>44968.389131944445</v>
      </c>
      <c r="E50" s="1" t="s">
        <v>35</v>
      </c>
      <c r="F50" s="1">
        <v>13022</v>
      </c>
      <c r="G50" s="1" t="s">
        <v>43</v>
      </c>
      <c r="H50" s="1" t="s">
        <v>44</v>
      </c>
      <c r="I50" s="1">
        <v>41.892465999999999</v>
      </c>
      <c r="J50" s="1">
        <v>-87.612105</v>
      </c>
      <c r="K50" s="1">
        <v>41.902977</v>
      </c>
      <c r="L50" s="1">
        <v>-87.633983000000001</v>
      </c>
      <c r="M50" s="1" t="s">
        <v>31</v>
      </c>
      <c r="N50" s="5">
        <f t="shared" si="0"/>
        <v>4.1435185186855961E-2</v>
      </c>
      <c r="O50" s="1">
        <f t="shared" si="1"/>
        <v>7</v>
      </c>
      <c r="P50" s="1" t="str">
        <f t="shared" si="2"/>
        <v>Sat</v>
      </c>
    </row>
    <row r="51" spans="1:16" x14ac:dyDescent="0.25">
      <c r="A51" s="1" t="s">
        <v>89</v>
      </c>
      <c r="B51" s="1" t="s">
        <v>14</v>
      </c>
      <c r="C51" s="2">
        <v>44969.054699074077</v>
      </c>
      <c r="D51" s="2">
        <v>44969.075428240743</v>
      </c>
      <c r="E51" s="1" t="s">
        <v>24</v>
      </c>
      <c r="F51" s="1">
        <v>13263</v>
      </c>
      <c r="G51" s="1" t="s">
        <v>15</v>
      </c>
      <c r="H51" s="1">
        <v>13008</v>
      </c>
      <c r="I51" s="1">
        <v>41.885226000000003</v>
      </c>
      <c r="J51" s="1">
        <v>-87.619269000000003</v>
      </c>
      <c r="K51" s="1">
        <v>41.881239000000001</v>
      </c>
      <c r="L51" s="1">
        <v>-87.623805000000004</v>
      </c>
      <c r="M51" s="1" t="s">
        <v>31</v>
      </c>
      <c r="N51" s="5">
        <f t="shared" si="0"/>
        <v>2.0729166666569654E-2</v>
      </c>
      <c r="O51" s="1">
        <f t="shared" si="1"/>
        <v>1</v>
      </c>
      <c r="P51" s="1" t="str">
        <f t="shared" si="2"/>
        <v>Sun</v>
      </c>
    </row>
    <row r="52" spans="1:16" x14ac:dyDescent="0.25">
      <c r="A52" s="1" t="s">
        <v>90</v>
      </c>
      <c r="B52" s="1" t="s">
        <v>37</v>
      </c>
      <c r="C52" s="2">
        <v>44969.761111111111</v>
      </c>
      <c r="D52" s="2">
        <v>44969.779062499998</v>
      </c>
      <c r="E52" s="1" t="s">
        <v>19</v>
      </c>
      <c r="F52" s="1" t="s">
        <v>20</v>
      </c>
      <c r="G52" s="1" t="s">
        <v>57</v>
      </c>
      <c r="H52" s="1" t="s">
        <v>58</v>
      </c>
      <c r="I52" s="1">
        <v>41.926602000000003</v>
      </c>
      <c r="J52" s="1">
        <v>-87.630645000000001</v>
      </c>
      <c r="K52" s="1">
        <v>41.912185000000001</v>
      </c>
      <c r="L52" s="1">
        <v>-87.634913999999995</v>
      </c>
      <c r="M52" s="1" t="s">
        <v>31</v>
      </c>
      <c r="N52" s="5">
        <f t="shared" si="0"/>
        <v>1.7951388887013309E-2</v>
      </c>
      <c r="O52" s="1">
        <f t="shared" si="1"/>
        <v>1</v>
      </c>
      <c r="P52" s="1" t="str">
        <f t="shared" si="2"/>
        <v>Sun</v>
      </c>
    </row>
    <row r="53" spans="1:16" x14ac:dyDescent="0.25">
      <c r="A53" s="1" t="s">
        <v>91</v>
      </c>
      <c r="B53" s="1" t="s">
        <v>14</v>
      </c>
      <c r="C53" s="2">
        <v>44972.11136574074</v>
      </c>
      <c r="D53" s="2">
        <v>44972.165671296294</v>
      </c>
      <c r="E53" s="1" t="s">
        <v>57</v>
      </c>
      <c r="F53" s="1" t="s">
        <v>58</v>
      </c>
      <c r="G53" s="1" t="s">
        <v>21</v>
      </c>
      <c r="H53" s="1">
        <v>21213</v>
      </c>
      <c r="I53" s="1">
        <v>41.911985000000001</v>
      </c>
      <c r="J53" s="1">
        <v>-87.635113000000004</v>
      </c>
      <c r="K53" s="1">
        <v>41.834412999999998</v>
      </c>
      <c r="L53" s="1">
        <v>-87.625921000000005</v>
      </c>
      <c r="M53" s="1" t="s">
        <v>31</v>
      </c>
      <c r="N53" s="5">
        <f t="shared" si="0"/>
        <v>5.4305555553582963E-2</v>
      </c>
      <c r="O53" s="1">
        <f t="shared" si="1"/>
        <v>4</v>
      </c>
      <c r="P53" s="1" t="str">
        <f t="shared" si="2"/>
        <v>Wed</v>
      </c>
    </row>
    <row r="54" spans="1:16" x14ac:dyDescent="0.25">
      <c r="A54" s="1" t="s">
        <v>92</v>
      </c>
      <c r="B54" s="1" t="s">
        <v>14</v>
      </c>
      <c r="C54" s="2">
        <v>44972.138449074075</v>
      </c>
      <c r="D54" s="2">
        <v>44972.146805555552</v>
      </c>
      <c r="E54" s="1" t="s">
        <v>43</v>
      </c>
      <c r="F54" s="1" t="s">
        <v>44</v>
      </c>
      <c r="G54" s="1" t="s">
        <v>47</v>
      </c>
      <c r="H54" s="1" t="s">
        <v>48</v>
      </c>
      <c r="I54" s="1">
        <v>41.902836000000001</v>
      </c>
      <c r="J54" s="1">
        <v>-87.633905999999996</v>
      </c>
      <c r="K54" s="1">
        <v>41.88252</v>
      </c>
      <c r="L54" s="1">
        <v>-87.640743999999998</v>
      </c>
      <c r="M54" s="1" t="s">
        <v>17</v>
      </c>
      <c r="N54" s="5">
        <f t="shared" si="0"/>
        <v>8.3564814776764251E-3</v>
      </c>
      <c r="O54" s="1">
        <f t="shared" si="1"/>
        <v>4</v>
      </c>
      <c r="P54" s="1" t="str">
        <f t="shared" si="2"/>
        <v>Wed</v>
      </c>
    </row>
    <row r="55" spans="1:16" x14ac:dyDescent="0.25">
      <c r="A55" s="1" t="s">
        <v>93</v>
      </c>
      <c r="B55" s="1" t="s">
        <v>14</v>
      </c>
      <c r="C55" s="2">
        <v>44972.323067129626</v>
      </c>
      <c r="D55" s="2">
        <v>44972.329722222225</v>
      </c>
      <c r="E55" s="1" t="s">
        <v>15</v>
      </c>
      <c r="F55" s="1">
        <v>13008</v>
      </c>
      <c r="G55" s="1" t="s">
        <v>47</v>
      </c>
      <c r="H55" s="1" t="s">
        <v>48</v>
      </c>
      <c r="I55" s="1">
        <v>41.880732999999999</v>
      </c>
      <c r="J55" s="1">
        <v>-87.624573999999996</v>
      </c>
      <c r="K55" s="1">
        <v>41.881816999999998</v>
      </c>
      <c r="L55" s="1">
        <v>-87.641189999999995</v>
      </c>
      <c r="M55" s="1" t="s">
        <v>31</v>
      </c>
      <c r="N55" s="5">
        <f t="shared" si="0"/>
        <v>6.6550925985211506E-3</v>
      </c>
      <c r="O55" s="1">
        <f t="shared" si="1"/>
        <v>4</v>
      </c>
      <c r="P55" s="1" t="str">
        <f t="shared" si="2"/>
        <v>Wed</v>
      </c>
    </row>
    <row r="56" spans="1:16" x14ac:dyDescent="0.25">
      <c r="A56" s="1" t="s">
        <v>94</v>
      </c>
      <c r="B56" s="1" t="s">
        <v>14</v>
      </c>
      <c r="C56" s="2">
        <v>44973.725671296299</v>
      </c>
      <c r="D56" s="2">
        <v>44973.732175925928</v>
      </c>
      <c r="E56" s="1" t="s">
        <v>23</v>
      </c>
      <c r="F56" s="1">
        <v>13011</v>
      </c>
      <c r="G56" s="1" t="s">
        <v>27</v>
      </c>
      <c r="H56" s="1" t="s">
        <v>28</v>
      </c>
      <c r="I56" s="1">
        <v>41.879209000000003</v>
      </c>
      <c r="J56" s="1">
        <v>-87.639897000000005</v>
      </c>
      <c r="K56" s="1">
        <v>41.889249</v>
      </c>
      <c r="L56" s="1">
        <v>-87.638074000000003</v>
      </c>
      <c r="M56" s="1" t="s">
        <v>17</v>
      </c>
      <c r="N56" s="5">
        <f t="shared" si="0"/>
        <v>6.5046296294895001E-3</v>
      </c>
      <c r="O56" s="1">
        <f t="shared" si="1"/>
        <v>5</v>
      </c>
      <c r="P56" s="1" t="str">
        <f t="shared" si="2"/>
        <v>Thu</v>
      </c>
    </row>
    <row r="57" spans="1:16" x14ac:dyDescent="0.25">
      <c r="A57" s="1" t="s">
        <v>95</v>
      </c>
      <c r="B57" s="1" t="s">
        <v>37</v>
      </c>
      <c r="C57" s="2">
        <v>44974.044120370374</v>
      </c>
      <c r="D57" s="2">
        <v>44974.051805555559</v>
      </c>
      <c r="E57" s="1" t="s">
        <v>21</v>
      </c>
      <c r="F57" s="1">
        <v>21213</v>
      </c>
      <c r="G57" s="1" t="s">
        <v>30</v>
      </c>
      <c r="H57" s="1">
        <v>13137</v>
      </c>
      <c r="I57" s="1">
        <v>41.834589000000001</v>
      </c>
      <c r="J57" s="1">
        <v>-87.625888000000003</v>
      </c>
      <c r="K57" s="1">
        <v>41.937297000000001</v>
      </c>
      <c r="L57" s="1">
        <v>-87.644001000000003</v>
      </c>
      <c r="M57" s="1" t="s">
        <v>31</v>
      </c>
      <c r="N57" s="5">
        <f t="shared" si="0"/>
        <v>7.6851851845276542E-3</v>
      </c>
      <c r="O57" s="1">
        <f t="shared" si="1"/>
        <v>6</v>
      </c>
      <c r="P57" s="1" t="str">
        <f t="shared" si="2"/>
        <v>Fri</v>
      </c>
    </row>
    <row r="58" spans="1:16" x14ac:dyDescent="0.25">
      <c r="A58" s="1" t="s">
        <v>96</v>
      </c>
      <c r="B58" s="1" t="s">
        <v>14</v>
      </c>
      <c r="C58" s="2">
        <v>44974.479421296295</v>
      </c>
      <c r="D58" s="2">
        <v>44974.504247685189</v>
      </c>
      <c r="E58" s="1" t="s">
        <v>33</v>
      </c>
      <c r="F58" s="1" t="s">
        <v>34</v>
      </c>
      <c r="G58" s="1" t="s">
        <v>41</v>
      </c>
      <c r="H58" s="1" t="s">
        <v>42</v>
      </c>
      <c r="I58" s="1">
        <v>41.887109000000002</v>
      </c>
      <c r="J58" s="1">
        <v>-87.612843999999996</v>
      </c>
      <c r="K58" s="1">
        <v>41.902915999999998</v>
      </c>
      <c r="L58" s="1">
        <v>-87.631286000000003</v>
      </c>
      <c r="M58" s="1" t="s">
        <v>17</v>
      </c>
      <c r="N58" s="5">
        <f t="shared" si="0"/>
        <v>2.4826388893416151E-2</v>
      </c>
      <c r="O58" s="1">
        <f t="shared" si="1"/>
        <v>6</v>
      </c>
      <c r="P58" s="1" t="str">
        <f t="shared" si="2"/>
        <v>Fri</v>
      </c>
    </row>
    <row r="59" spans="1:16" x14ac:dyDescent="0.25">
      <c r="A59" s="1" t="s">
        <v>97</v>
      </c>
      <c r="B59" s="1" t="s">
        <v>14</v>
      </c>
      <c r="C59" s="2">
        <v>44975.057002314818</v>
      </c>
      <c r="D59" s="2">
        <v>44975.06177083333</v>
      </c>
      <c r="E59" s="1" t="s">
        <v>21</v>
      </c>
      <c r="F59" s="1">
        <v>21213</v>
      </c>
      <c r="G59" s="1" t="s">
        <v>21</v>
      </c>
      <c r="H59" s="1">
        <v>21213</v>
      </c>
      <c r="I59" s="1">
        <v>41.834589999999999</v>
      </c>
      <c r="J59" s="1">
        <v>-87.625632999999993</v>
      </c>
      <c r="K59" s="1">
        <v>41.834508</v>
      </c>
      <c r="L59" s="1">
        <v>-87.625484999999998</v>
      </c>
      <c r="M59" s="1" t="s">
        <v>17</v>
      </c>
      <c r="N59" s="5">
        <f t="shared" si="0"/>
        <v>4.7685185127193108E-3</v>
      </c>
      <c r="O59" s="1">
        <f t="shared" si="1"/>
        <v>7</v>
      </c>
      <c r="P59" s="1" t="str">
        <f t="shared" si="2"/>
        <v>Sat</v>
      </c>
    </row>
    <row r="60" spans="1:16" x14ac:dyDescent="0.25">
      <c r="A60" s="1" t="s">
        <v>98</v>
      </c>
      <c r="B60" s="1" t="s">
        <v>37</v>
      </c>
      <c r="C60" s="2">
        <v>44975.402789351851</v>
      </c>
      <c r="D60" s="2">
        <v>44975.426921296297</v>
      </c>
      <c r="E60" s="1" t="s">
        <v>24</v>
      </c>
      <c r="F60" s="1">
        <v>13263</v>
      </c>
      <c r="G60" s="1" t="s">
        <v>66</v>
      </c>
      <c r="H60" s="1">
        <v>13042</v>
      </c>
      <c r="I60" s="1">
        <v>41.884453999999998</v>
      </c>
      <c r="J60" s="1">
        <v>-87.619889000000001</v>
      </c>
      <c r="K60" s="1">
        <v>41.901347000000001</v>
      </c>
      <c r="L60" s="1">
        <v>-87.624002000000004</v>
      </c>
      <c r="M60" s="1" t="s">
        <v>31</v>
      </c>
      <c r="N60" s="5">
        <f t="shared" si="0"/>
        <v>2.4131944446708076E-2</v>
      </c>
      <c r="O60" s="1">
        <f t="shared" si="1"/>
        <v>7</v>
      </c>
      <c r="P60" s="1" t="str">
        <f t="shared" si="2"/>
        <v>Sat</v>
      </c>
    </row>
    <row r="61" spans="1:16" x14ac:dyDescent="0.25">
      <c r="A61" s="1" t="s">
        <v>99</v>
      </c>
      <c r="B61" s="1" t="s">
        <v>37</v>
      </c>
      <c r="C61" s="2">
        <v>44975.537060185183</v>
      </c>
      <c r="D61" s="2">
        <v>44975.544560185182</v>
      </c>
      <c r="E61" s="1" t="s">
        <v>21</v>
      </c>
      <c r="F61" s="1">
        <v>21213</v>
      </c>
      <c r="G61" s="1" t="s">
        <v>57</v>
      </c>
      <c r="H61" s="1" t="s">
        <v>58</v>
      </c>
      <c r="I61" s="1">
        <v>41.834490000000002</v>
      </c>
      <c r="J61" s="1">
        <v>-87.625378999999995</v>
      </c>
      <c r="K61" s="1">
        <v>41.911763999999998</v>
      </c>
      <c r="L61" s="1">
        <v>-87.634359000000003</v>
      </c>
      <c r="M61" s="1" t="s">
        <v>17</v>
      </c>
      <c r="N61" s="5">
        <f t="shared" si="0"/>
        <v>7.4999999997089617E-3</v>
      </c>
      <c r="O61" s="1">
        <f t="shared" si="1"/>
        <v>7</v>
      </c>
      <c r="P61" s="1" t="str">
        <f t="shared" si="2"/>
        <v>Sat</v>
      </c>
    </row>
    <row r="62" spans="1:16" x14ac:dyDescent="0.25">
      <c r="A62" s="1" t="s">
        <v>100</v>
      </c>
      <c r="B62" s="1" t="s">
        <v>14</v>
      </c>
      <c r="C62" s="2">
        <v>44975.663171296299</v>
      </c>
      <c r="D62" s="2">
        <v>44975.670428240737</v>
      </c>
      <c r="E62" s="1" t="s">
        <v>23</v>
      </c>
      <c r="F62" s="1">
        <v>13011</v>
      </c>
      <c r="G62" s="1" t="s">
        <v>24</v>
      </c>
      <c r="H62" s="1">
        <v>13263</v>
      </c>
      <c r="I62" s="1">
        <v>41.878846000000003</v>
      </c>
      <c r="J62" s="1">
        <v>-87.639786000000001</v>
      </c>
      <c r="K62" s="1">
        <v>41.884610000000002</v>
      </c>
      <c r="L62" s="1">
        <v>-87.619038000000003</v>
      </c>
      <c r="M62" s="1" t="s">
        <v>17</v>
      </c>
      <c r="N62" s="5">
        <f t="shared" si="0"/>
        <v>7.2569444382679649E-3</v>
      </c>
      <c r="O62" s="1">
        <f t="shared" si="1"/>
        <v>7</v>
      </c>
      <c r="P62" s="1" t="str">
        <f t="shared" si="2"/>
        <v>Sat</v>
      </c>
    </row>
    <row r="63" spans="1:16" x14ac:dyDescent="0.25">
      <c r="A63" s="1" t="s">
        <v>101</v>
      </c>
      <c r="B63" s="1" t="s">
        <v>37</v>
      </c>
      <c r="C63" s="2">
        <v>44976.309062499997</v>
      </c>
      <c r="D63" s="2">
        <v>44976.337997685187</v>
      </c>
      <c r="E63" s="1" t="s">
        <v>43</v>
      </c>
      <c r="F63" s="1" t="s">
        <v>44</v>
      </c>
      <c r="G63" s="1" t="s">
        <v>24</v>
      </c>
      <c r="H63" s="1">
        <v>13263</v>
      </c>
      <c r="I63" s="1">
        <v>41.903618000000002</v>
      </c>
      <c r="J63" s="1">
        <v>-87.634501999999998</v>
      </c>
      <c r="K63" s="1">
        <v>41.884352999999997</v>
      </c>
      <c r="L63" s="1">
        <v>-87.619546999999997</v>
      </c>
      <c r="M63" s="1" t="s">
        <v>31</v>
      </c>
      <c r="N63" s="5">
        <f t="shared" si="0"/>
        <v>2.8935185189766344E-2</v>
      </c>
      <c r="O63" s="1">
        <f t="shared" si="1"/>
        <v>1</v>
      </c>
      <c r="P63" s="1" t="str">
        <f t="shared" si="2"/>
        <v>Sun</v>
      </c>
    </row>
    <row r="64" spans="1:16" x14ac:dyDescent="0.25">
      <c r="A64" s="1" t="s">
        <v>102</v>
      </c>
      <c r="B64" s="1" t="s">
        <v>14</v>
      </c>
      <c r="C64" s="2">
        <v>44977.313206018516</v>
      </c>
      <c r="D64" s="2">
        <v>44977.320763888885</v>
      </c>
      <c r="E64" s="1" t="s">
        <v>16</v>
      </c>
      <c r="F64" s="1">
        <v>13045</v>
      </c>
      <c r="G64" s="1" t="s">
        <v>47</v>
      </c>
      <c r="H64" s="1" t="s">
        <v>48</v>
      </c>
      <c r="I64" s="1">
        <v>41.894461999999997</v>
      </c>
      <c r="J64" s="1">
        <v>-87.629042999999996</v>
      </c>
      <c r="K64" s="1">
        <v>41.882680999999998</v>
      </c>
      <c r="L64" s="1">
        <v>-87.640670999999998</v>
      </c>
      <c r="M64" s="1" t="s">
        <v>17</v>
      </c>
      <c r="N64" s="5">
        <f t="shared" si="0"/>
        <v>7.5578703690553084E-3</v>
      </c>
      <c r="O64" s="1">
        <f t="shared" si="1"/>
        <v>2</v>
      </c>
      <c r="P64" s="1" t="str">
        <f t="shared" si="2"/>
        <v>Mon</v>
      </c>
    </row>
    <row r="65" spans="1:16" x14ac:dyDescent="0.25">
      <c r="A65" s="1" t="s">
        <v>103</v>
      </c>
      <c r="B65" s="1" t="s">
        <v>14</v>
      </c>
      <c r="C65" s="2">
        <v>44978.924270833333</v>
      </c>
      <c r="D65" s="2">
        <v>44978.945011574076</v>
      </c>
      <c r="E65" s="1" t="s">
        <v>41</v>
      </c>
      <c r="F65" s="1" t="s">
        <v>42</v>
      </c>
      <c r="G65" s="1" t="s">
        <v>43</v>
      </c>
      <c r="H65" s="1" t="s">
        <v>44</v>
      </c>
      <c r="I65" s="1">
        <v>41.903027000000002</v>
      </c>
      <c r="J65" s="1">
        <v>-87.631567000000004</v>
      </c>
      <c r="K65" s="1">
        <v>41.903668000000003</v>
      </c>
      <c r="L65" s="1">
        <v>-87.634043000000005</v>
      </c>
      <c r="M65" s="1" t="s">
        <v>31</v>
      </c>
      <c r="N65" s="5">
        <f t="shared" si="0"/>
        <v>2.0740740743349306E-2</v>
      </c>
      <c r="O65" s="1">
        <f t="shared" si="1"/>
        <v>3</v>
      </c>
      <c r="P65" s="1" t="str">
        <f t="shared" si="2"/>
        <v>Tue</v>
      </c>
    </row>
    <row r="66" spans="1:16" x14ac:dyDescent="0.25">
      <c r="A66" s="1" t="s">
        <v>104</v>
      </c>
      <c r="B66" s="1" t="s">
        <v>14</v>
      </c>
      <c r="C66" s="2">
        <v>44979.5625462963</v>
      </c>
      <c r="D66" s="2">
        <v>44979.568981481483</v>
      </c>
      <c r="E66" s="1" t="s">
        <v>19</v>
      </c>
      <c r="F66" s="1" t="s">
        <v>20</v>
      </c>
      <c r="G66" s="1" t="s">
        <v>43</v>
      </c>
      <c r="H66" s="1" t="s">
        <v>44</v>
      </c>
      <c r="I66" s="1">
        <v>41.926654999999997</v>
      </c>
      <c r="J66" s="1">
        <v>-87.630728000000005</v>
      </c>
      <c r="K66" s="1">
        <v>41.902968999999999</v>
      </c>
      <c r="L66" s="1">
        <v>-87.634467999999998</v>
      </c>
      <c r="M66" s="1" t="s">
        <v>17</v>
      </c>
      <c r="N66" s="5">
        <f t="shared" si="0"/>
        <v>6.435185183363501E-3</v>
      </c>
      <c r="O66" s="1">
        <f t="shared" si="1"/>
        <v>4</v>
      </c>
      <c r="P66" s="1" t="str">
        <f t="shared" si="2"/>
        <v>Wed</v>
      </c>
    </row>
    <row r="67" spans="1:16" x14ac:dyDescent="0.25">
      <c r="A67" s="3" t="s">
        <v>105</v>
      </c>
      <c r="B67" s="1" t="s">
        <v>26</v>
      </c>
      <c r="C67" s="2">
        <v>44980.699699074074</v>
      </c>
      <c r="D67" s="2">
        <v>44980.720555555556</v>
      </c>
      <c r="E67" s="1" t="s">
        <v>35</v>
      </c>
      <c r="F67" s="1">
        <v>13022</v>
      </c>
      <c r="G67" s="1" t="s">
        <v>41</v>
      </c>
      <c r="H67" s="1" t="s">
        <v>42</v>
      </c>
      <c r="I67" s="1">
        <v>41.892083999999997</v>
      </c>
      <c r="J67" s="1">
        <v>-87.612139999999997</v>
      </c>
      <c r="K67" s="1">
        <v>41.903146</v>
      </c>
      <c r="L67" s="1">
        <v>-87.631097999999994</v>
      </c>
      <c r="M67" s="1" t="s">
        <v>17</v>
      </c>
      <c r="N67" s="5">
        <f t="shared" ref="N67:N130" si="3">D67-C67</f>
        <v>2.0856481482042E-2</v>
      </c>
      <c r="O67" s="1">
        <f t="shared" ref="O67:O130" si="4">WEEKDAY(C67,1)</f>
        <v>5</v>
      </c>
      <c r="P67" s="1" t="str">
        <f t="shared" ref="P67:P130" si="5">CHOOSE(O67,"Sun","Mon","Tue","Wed","Thu","Fri","Sat")</f>
        <v>Thu</v>
      </c>
    </row>
    <row r="68" spans="1:16" x14ac:dyDescent="0.25">
      <c r="A68" s="3" t="s">
        <v>106</v>
      </c>
      <c r="B68" s="1" t="s">
        <v>14</v>
      </c>
      <c r="C68" s="2">
        <v>44980.706423611111</v>
      </c>
      <c r="D68" s="2">
        <v>44980.710300925923</v>
      </c>
      <c r="E68" s="1" t="s">
        <v>16</v>
      </c>
      <c r="F68" s="1">
        <v>13045</v>
      </c>
      <c r="G68" s="1" t="s">
        <v>35</v>
      </c>
      <c r="H68" s="1">
        <v>13022</v>
      </c>
      <c r="I68" s="1">
        <v>41.894311999999999</v>
      </c>
      <c r="J68" s="1">
        <v>-87.628929999999997</v>
      </c>
      <c r="K68" s="1">
        <v>41.891976999999997</v>
      </c>
      <c r="L68" s="1">
        <v>-87.612258999999995</v>
      </c>
      <c r="M68" s="1" t="s">
        <v>17</v>
      </c>
      <c r="N68" s="5">
        <f t="shared" si="3"/>
        <v>3.8773148116888478E-3</v>
      </c>
      <c r="O68" s="1">
        <f t="shared" si="4"/>
        <v>5</v>
      </c>
      <c r="P68" s="1" t="str">
        <f t="shared" si="5"/>
        <v>Thu</v>
      </c>
    </row>
    <row r="69" spans="1:16" x14ac:dyDescent="0.25">
      <c r="A69" s="1" t="s">
        <v>107</v>
      </c>
      <c r="B69" s="1" t="s">
        <v>37</v>
      </c>
      <c r="C69" s="2">
        <v>44981.853877314818</v>
      </c>
      <c r="D69" s="2">
        <v>44981.868090277778</v>
      </c>
      <c r="E69" s="1" t="s">
        <v>57</v>
      </c>
      <c r="F69" s="1" t="s">
        <v>58</v>
      </c>
      <c r="G69" s="1" t="s">
        <v>66</v>
      </c>
      <c r="H69" s="1">
        <v>13042</v>
      </c>
      <c r="I69" s="1">
        <v>41.911794999999998</v>
      </c>
      <c r="J69" s="1">
        <v>-87.635135000000005</v>
      </c>
      <c r="K69" s="1">
        <v>41.901113000000002</v>
      </c>
      <c r="L69" s="1">
        <v>-87.623945000000006</v>
      </c>
      <c r="M69" s="1" t="s">
        <v>17</v>
      </c>
      <c r="N69" s="5">
        <f t="shared" si="3"/>
        <v>1.4212962960300501E-2</v>
      </c>
      <c r="O69" s="1">
        <f t="shared" si="4"/>
        <v>6</v>
      </c>
      <c r="P69" s="1" t="str">
        <f t="shared" si="5"/>
        <v>Fri</v>
      </c>
    </row>
    <row r="70" spans="1:16" x14ac:dyDescent="0.25">
      <c r="A70" s="1" t="s">
        <v>108</v>
      </c>
      <c r="B70" s="1" t="s">
        <v>14</v>
      </c>
      <c r="C70" s="2">
        <v>44982.766805555555</v>
      </c>
      <c r="D70" s="2">
        <v>44982.770891203705</v>
      </c>
      <c r="E70" s="1" t="s">
        <v>47</v>
      </c>
      <c r="F70" s="1" t="s">
        <v>48</v>
      </c>
      <c r="G70" s="1" t="s">
        <v>21</v>
      </c>
      <c r="H70" s="1">
        <v>21213</v>
      </c>
      <c r="I70" s="1">
        <v>41.882418000000001</v>
      </c>
      <c r="J70" s="1">
        <v>-87.641057000000004</v>
      </c>
      <c r="K70" s="1">
        <v>41.835095000000003</v>
      </c>
      <c r="L70" s="1">
        <v>-87.625446999999994</v>
      </c>
      <c r="M70" s="1" t="s">
        <v>17</v>
      </c>
      <c r="N70" s="5">
        <f t="shared" si="3"/>
        <v>4.0856481500668451E-3</v>
      </c>
      <c r="O70" s="1">
        <f t="shared" si="4"/>
        <v>7</v>
      </c>
      <c r="P70" s="1" t="str">
        <f t="shared" si="5"/>
        <v>Sat</v>
      </c>
    </row>
    <row r="71" spans="1:16" x14ac:dyDescent="0.25">
      <c r="A71" s="1" t="s">
        <v>109</v>
      </c>
      <c r="B71" s="1" t="s">
        <v>14</v>
      </c>
      <c r="C71" s="2">
        <v>44984.694988425923</v>
      </c>
      <c r="D71" s="2">
        <v>44984.70239583333</v>
      </c>
      <c r="E71" s="1" t="s">
        <v>47</v>
      </c>
      <c r="F71" s="1" t="s">
        <v>48</v>
      </c>
      <c r="G71" s="1" t="s">
        <v>15</v>
      </c>
      <c r="H71" s="1">
        <v>13008</v>
      </c>
      <c r="I71" s="1">
        <v>41.881833</v>
      </c>
      <c r="J71" s="1">
        <v>-87.641008999999997</v>
      </c>
      <c r="K71" s="1">
        <v>41.881424000000003</v>
      </c>
      <c r="L71" s="1">
        <v>-87.624296999999999</v>
      </c>
      <c r="M71" s="1" t="s">
        <v>17</v>
      </c>
      <c r="N71" s="5">
        <f t="shared" si="3"/>
        <v>7.4074074072996154E-3</v>
      </c>
      <c r="O71" s="1">
        <f t="shared" si="4"/>
        <v>2</v>
      </c>
      <c r="P71" s="1" t="str">
        <f t="shared" si="5"/>
        <v>Mon</v>
      </c>
    </row>
    <row r="72" spans="1:16" x14ac:dyDescent="0.25">
      <c r="A72" s="1" t="s">
        <v>110</v>
      </c>
      <c r="B72" s="1" t="s">
        <v>14</v>
      </c>
      <c r="C72" s="2">
        <v>44984.817013888889</v>
      </c>
      <c r="D72" s="2">
        <v>44984.82440972222</v>
      </c>
      <c r="E72" s="1" t="s">
        <v>19</v>
      </c>
      <c r="F72" s="1" t="s">
        <v>20</v>
      </c>
      <c r="G72" s="1" t="s">
        <v>66</v>
      </c>
      <c r="H72" s="1">
        <v>13042</v>
      </c>
      <c r="I72" s="1">
        <v>41.926561</v>
      </c>
      <c r="J72" s="1">
        <v>-87.631322999999995</v>
      </c>
      <c r="K72" s="1">
        <v>41.901221999999997</v>
      </c>
      <c r="L72" s="1">
        <v>-87.623384000000001</v>
      </c>
      <c r="M72" s="1" t="s">
        <v>17</v>
      </c>
      <c r="N72" s="5">
        <f t="shared" si="3"/>
        <v>7.3958333305199631E-3</v>
      </c>
      <c r="O72" s="1">
        <f t="shared" si="4"/>
        <v>2</v>
      </c>
      <c r="P72" s="1" t="str">
        <f t="shared" si="5"/>
        <v>Mon</v>
      </c>
    </row>
    <row r="73" spans="1:16" x14ac:dyDescent="0.25">
      <c r="A73" s="1" t="s">
        <v>111</v>
      </c>
      <c r="B73" s="1" t="s">
        <v>14</v>
      </c>
      <c r="C73" s="2">
        <v>44986.565613425926</v>
      </c>
      <c r="D73" s="2">
        <v>44986.592939814815</v>
      </c>
      <c r="E73" s="1" t="s">
        <v>15</v>
      </c>
      <c r="F73" s="1">
        <v>13008</v>
      </c>
      <c r="G73" s="1" t="s">
        <v>15</v>
      </c>
      <c r="H73" s="1">
        <v>13008</v>
      </c>
      <c r="I73" s="1">
        <v>41.881303000000003</v>
      </c>
      <c r="J73" s="1">
        <v>-87.623637000000002</v>
      </c>
      <c r="K73" s="1">
        <v>41.880698000000002</v>
      </c>
      <c r="L73" s="1">
        <v>-87.623812999999998</v>
      </c>
      <c r="M73" s="1" t="s">
        <v>31</v>
      </c>
      <c r="N73" s="5">
        <f t="shared" si="3"/>
        <v>2.73263888884685E-2</v>
      </c>
      <c r="O73" s="1">
        <f t="shared" si="4"/>
        <v>4</v>
      </c>
      <c r="P73" s="1" t="str">
        <f t="shared" si="5"/>
        <v>Wed</v>
      </c>
    </row>
    <row r="74" spans="1:16" x14ac:dyDescent="0.25">
      <c r="A74" s="1" t="s">
        <v>112</v>
      </c>
      <c r="B74" s="1" t="s">
        <v>14</v>
      </c>
      <c r="C74" s="2">
        <v>44986.882384259261</v>
      </c>
      <c r="D74" s="2">
        <v>44986.949490740742</v>
      </c>
      <c r="E74" s="1" t="s">
        <v>41</v>
      </c>
      <c r="F74" s="1" t="s">
        <v>42</v>
      </c>
      <c r="G74" s="1" t="s">
        <v>24</v>
      </c>
      <c r="H74" s="1">
        <v>13263</v>
      </c>
      <c r="I74" s="1">
        <v>41.902847000000001</v>
      </c>
      <c r="J74" s="1">
        <v>-87.630893999999998</v>
      </c>
      <c r="K74" s="1">
        <v>41.884379000000003</v>
      </c>
      <c r="L74" s="1">
        <v>-87.619868999999994</v>
      </c>
      <c r="M74" s="1" t="s">
        <v>31</v>
      </c>
      <c r="N74" s="5">
        <f t="shared" si="3"/>
        <v>6.7106481481459923E-2</v>
      </c>
      <c r="O74" s="1">
        <f t="shared" si="4"/>
        <v>4</v>
      </c>
      <c r="P74" s="1" t="str">
        <f t="shared" si="5"/>
        <v>Wed</v>
      </c>
    </row>
    <row r="75" spans="1:16" x14ac:dyDescent="0.25">
      <c r="A75" s="1" t="s">
        <v>113</v>
      </c>
      <c r="B75" s="1" t="s">
        <v>37</v>
      </c>
      <c r="C75" s="2">
        <v>44986.918715277781</v>
      </c>
      <c r="D75" s="2">
        <v>44986.925324074073</v>
      </c>
      <c r="E75" s="1" t="s">
        <v>21</v>
      </c>
      <c r="F75" s="1">
        <v>21213</v>
      </c>
      <c r="G75" s="1" t="s">
        <v>33</v>
      </c>
      <c r="H75" s="1" t="s">
        <v>34</v>
      </c>
      <c r="I75" s="1">
        <v>41.834896000000001</v>
      </c>
      <c r="J75" s="1">
        <v>-87.625828999999996</v>
      </c>
      <c r="K75" s="1">
        <v>41.886481000000003</v>
      </c>
      <c r="L75" s="1">
        <v>-87.612509000000003</v>
      </c>
      <c r="M75" s="1" t="s">
        <v>17</v>
      </c>
      <c r="N75" s="5">
        <f t="shared" si="3"/>
        <v>6.6087962914025411E-3</v>
      </c>
      <c r="O75" s="1">
        <f t="shared" si="4"/>
        <v>4</v>
      </c>
      <c r="P75" s="1" t="str">
        <f t="shared" si="5"/>
        <v>Wed</v>
      </c>
    </row>
    <row r="76" spans="1:16" x14ac:dyDescent="0.25">
      <c r="A76" s="1" t="s">
        <v>114</v>
      </c>
      <c r="B76" s="1" t="s">
        <v>14</v>
      </c>
      <c r="C76" s="2">
        <v>44987.159826388888</v>
      </c>
      <c r="D76" s="2">
        <v>44987.191284722219</v>
      </c>
      <c r="E76" s="1" t="s">
        <v>15</v>
      </c>
      <c r="F76" s="1">
        <v>13008</v>
      </c>
      <c r="G76" s="1" t="s">
        <v>15</v>
      </c>
      <c r="H76" s="1">
        <v>13008</v>
      </c>
      <c r="I76" s="1">
        <v>41.880955999999998</v>
      </c>
      <c r="J76" s="1">
        <v>-87.624431000000001</v>
      </c>
      <c r="K76" s="1">
        <v>41.880766999999999</v>
      </c>
      <c r="L76" s="1">
        <v>-87.623715000000004</v>
      </c>
      <c r="M76" s="1" t="s">
        <v>31</v>
      </c>
      <c r="N76" s="5">
        <f t="shared" si="3"/>
        <v>3.145833333110204E-2</v>
      </c>
      <c r="O76" s="1">
        <f t="shared" si="4"/>
        <v>5</v>
      </c>
      <c r="P76" s="1" t="str">
        <f t="shared" si="5"/>
        <v>Thu</v>
      </c>
    </row>
    <row r="77" spans="1:16" x14ac:dyDescent="0.25">
      <c r="A77" s="1" t="s">
        <v>115</v>
      </c>
      <c r="B77" s="1" t="s">
        <v>14</v>
      </c>
      <c r="C77" s="2">
        <v>44988.128703703704</v>
      </c>
      <c r="D77" s="2">
        <v>44988.158622685187</v>
      </c>
      <c r="E77" s="1" t="s">
        <v>19</v>
      </c>
      <c r="F77" s="1" t="s">
        <v>20</v>
      </c>
      <c r="G77" s="1" t="s">
        <v>24</v>
      </c>
      <c r="H77" s="1">
        <v>13263</v>
      </c>
      <c r="I77" s="1">
        <v>41.926237</v>
      </c>
      <c r="J77" s="1">
        <v>-87.630786999999998</v>
      </c>
      <c r="K77" s="1">
        <v>41.884661000000001</v>
      </c>
      <c r="L77" s="1">
        <v>-87.619977000000006</v>
      </c>
      <c r="M77" s="1" t="s">
        <v>17</v>
      </c>
      <c r="N77" s="5">
        <f t="shared" si="3"/>
        <v>2.9918981483206153E-2</v>
      </c>
      <c r="O77" s="1">
        <f t="shared" si="4"/>
        <v>6</v>
      </c>
      <c r="P77" s="1" t="str">
        <f t="shared" si="5"/>
        <v>Fri</v>
      </c>
    </row>
    <row r="78" spans="1:16" x14ac:dyDescent="0.25">
      <c r="A78" s="1" t="s">
        <v>116</v>
      </c>
      <c r="B78" s="1" t="s">
        <v>26</v>
      </c>
      <c r="C78" s="2">
        <v>44988.614502314813</v>
      </c>
      <c r="D78" s="2">
        <v>44988.630011574074</v>
      </c>
      <c r="E78" s="1" t="s">
        <v>16</v>
      </c>
      <c r="F78" s="1">
        <v>13045</v>
      </c>
      <c r="G78" s="1" t="s">
        <v>30</v>
      </c>
      <c r="H78" s="1">
        <v>13137</v>
      </c>
      <c r="I78" s="1">
        <v>41.894027000000001</v>
      </c>
      <c r="J78" s="1">
        <v>-87.629603000000003</v>
      </c>
      <c r="K78" s="1">
        <v>41.937094000000002</v>
      </c>
      <c r="L78" s="1">
        <v>-87.644356999999999</v>
      </c>
      <c r="M78" s="1" t="s">
        <v>17</v>
      </c>
      <c r="N78" s="5">
        <f t="shared" si="3"/>
        <v>1.5509259261307307E-2</v>
      </c>
      <c r="O78" s="1">
        <f t="shared" si="4"/>
        <v>6</v>
      </c>
      <c r="P78" s="1" t="str">
        <f t="shared" si="5"/>
        <v>Fri</v>
      </c>
    </row>
    <row r="79" spans="1:16" x14ac:dyDescent="0.25">
      <c r="A79" s="1" t="s">
        <v>117</v>
      </c>
      <c r="B79" s="1" t="s">
        <v>37</v>
      </c>
      <c r="C79" s="2">
        <v>44988.683865740742</v>
      </c>
      <c r="D79" s="2">
        <v>44988.704722222225</v>
      </c>
      <c r="E79" s="1" t="s">
        <v>24</v>
      </c>
      <c r="F79" s="1">
        <v>13263</v>
      </c>
      <c r="G79" s="1" t="s">
        <v>24</v>
      </c>
      <c r="H79" s="1">
        <v>13263</v>
      </c>
      <c r="I79" s="1">
        <v>41.884498000000001</v>
      </c>
      <c r="J79" s="1">
        <v>-87.619829999999993</v>
      </c>
      <c r="K79" s="1">
        <v>41.884923000000001</v>
      </c>
      <c r="L79" s="1">
        <v>-87.619802000000007</v>
      </c>
      <c r="M79" s="1" t="s">
        <v>31</v>
      </c>
      <c r="N79" s="5">
        <f t="shared" si="3"/>
        <v>2.0856481482042E-2</v>
      </c>
      <c r="O79" s="1">
        <f t="shared" si="4"/>
        <v>6</v>
      </c>
      <c r="P79" s="1" t="str">
        <f t="shared" si="5"/>
        <v>Fri</v>
      </c>
    </row>
    <row r="80" spans="1:16" x14ac:dyDescent="0.25">
      <c r="A80" s="1" t="s">
        <v>118</v>
      </c>
      <c r="B80" s="1" t="s">
        <v>14</v>
      </c>
      <c r="C80" s="2">
        <v>44988.690798611111</v>
      </c>
      <c r="D80" s="2">
        <v>44988.69971064815</v>
      </c>
      <c r="E80" s="1" t="s">
        <v>47</v>
      </c>
      <c r="F80" s="1" t="s">
        <v>48</v>
      </c>
      <c r="G80" s="1" t="s">
        <v>66</v>
      </c>
      <c r="H80" s="1">
        <v>13042</v>
      </c>
      <c r="I80" s="1">
        <v>41.882562999999998</v>
      </c>
      <c r="J80" s="1">
        <v>-87.641284999999996</v>
      </c>
      <c r="K80" s="1">
        <v>41.900530000000003</v>
      </c>
      <c r="L80" s="1">
        <v>-87.624219999999994</v>
      </c>
      <c r="M80" s="1" t="s">
        <v>17</v>
      </c>
      <c r="N80" s="5">
        <f t="shared" si="3"/>
        <v>8.9120370394084603E-3</v>
      </c>
      <c r="O80" s="1">
        <f t="shared" si="4"/>
        <v>6</v>
      </c>
      <c r="P80" s="1" t="str">
        <f t="shared" si="5"/>
        <v>Fri</v>
      </c>
    </row>
    <row r="81" spans="1:16" x14ac:dyDescent="0.25">
      <c r="A81" s="3" t="s">
        <v>119</v>
      </c>
      <c r="B81" s="1" t="s">
        <v>14</v>
      </c>
      <c r="C81" s="2">
        <v>44988.816990740743</v>
      </c>
      <c r="D81" s="2">
        <v>44988.83797453704</v>
      </c>
      <c r="E81" s="1" t="s">
        <v>43</v>
      </c>
      <c r="F81" s="1" t="s">
        <v>44</v>
      </c>
      <c r="G81" s="1" t="s">
        <v>30</v>
      </c>
      <c r="H81" s="1">
        <v>13137</v>
      </c>
      <c r="I81" s="1">
        <v>41.903512999999997</v>
      </c>
      <c r="J81" s="1">
        <v>-87.634142999999995</v>
      </c>
      <c r="K81" s="1">
        <v>41.937381999999999</v>
      </c>
      <c r="L81" s="1">
        <v>-87.644139999999993</v>
      </c>
      <c r="M81" s="1" t="s">
        <v>31</v>
      </c>
      <c r="N81" s="5">
        <f t="shared" si="3"/>
        <v>2.0983796297514345E-2</v>
      </c>
      <c r="O81" s="1">
        <f t="shared" si="4"/>
        <v>6</v>
      </c>
      <c r="P81" s="1" t="str">
        <f t="shared" si="5"/>
        <v>Fri</v>
      </c>
    </row>
    <row r="82" spans="1:16" x14ac:dyDescent="0.25">
      <c r="A82" s="1" t="s">
        <v>120</v>
      </c>
      <c r="B82" s="1" t="s">
        <v>14</v>
      </c>
      <c r="C82" s="2">
        <v>44989.14471064815</v>
      </c>
      <c r="D82" s="2">
        <v>44989.18677083333</v>
      </c>
      <c r="E82" s="1" t="s">
        <v>19</v>
      </c>
      <c r="F82" s="1" t="s">
        <v>20</v>
      </c>
      <c r="G82" s="1" t="s">
        <v>47</v>
      </c>
      <c r="H82" s="1" t="s">
        <v>48</v>
      </c>
      <c r="I82" s="1">
        <v>41.926313999999998</v>
      </c>
      <c r="J82" s="1">
        <v>-87.630741</v>
      </c>
      <c r="K82" s="1">
        <v>41.882322000000002</v>
      </c>
      <c r="L82" s="1">
        <v>-87.641475</v>
      </c>
      <c r="M82" s="1" t="s">
        <v>31</v>
      </c>
      <c r="N82" s="5">
        <f t="shared" si="3"/>
        <v>4.206018518016208E-2</v>
      </c>
      <c r="O82" s="1">
        <f t="shared" si="4"/>
        <v>7</v>
      </c>
      <c r="P82" s="1" t="str">
        <f t="shared" si="5"/>
        <v>Sat</v>
      </c>
    </row>
    <row r="83" spans="1:16" x14ac:dyDescent="0.25">
      <c r="A83" s="1" t="s">
        <v>121</v>
      </c>
      <c r="B83" s="1" t="s">
        <v>37</v>
      </c>
      <c r="C83" s="2">
        <v>44990.001979166664</v>
      </c>
      <c r="D83" s="2">
        <v>44990.011296296296</v>
      </c>
      <c r="E83" s="1" t="s">
        <v>21</v>
      </c>
      <c r="F83" s="1">
        <v>21213</v>
      </c>
      <c r="G83" s="1" t="s">
        <v>23</v>
      </c>
      <c r="H83" s="1">
        <v>13011</v>
      </c>
      <c r="I83" s="1">
        <v>41.834708999999997</v>
      </c>
      <c r="J83" s="1">
        <v>-87.625415000000004</v>
      </c>
      <c r="K83" s="1">
        <v>41.879280000000001</v>
      </c>
      <c r="L83" s="1">
        <v>-87.639696999999998</v>
      </c>
      <c r="M83" s="1" t="s">
        <v>17</v>
      </c>
      <c r="N83" s="5">
        <f t="shared" si="3"/>
        <v>9.3171296321088448E-3</v>
      </c>
      <c r="O83" s="1">
        <f t="shared" si="4"/>
        <v>1</v>
      </c>
      <c r="P83" s="1" t="str">
        <f t="shared" si="5"/>
        <v>Sun</v>
      </c>
    </row>
    <row r="84" spans="1:16" x14ac:dyDescent="0.25">
      <c r="A84" s="1" t="s">
        <v>122</v>
      </c>
      <c r="B84" s="1" t="s">
        <v>26</v>
      </c>
      <c r="C84" s="2">
        <v>44990.511932870373</v>
      </c>
      <c r="D84" s="2">
        <v>44990.514907407407</v>
      </c>
      <c r="E84" s="1" t="s">
        <v>19</v>
      </c>
      <c r="F84" s="1" t="s">
        <v>20</v>
      </c>
      <c r="G84" s="1" t="s">
        <v>35</v>
      </c>
      <c r="H84" s="1">
        <v>13022</v>
      </c>
      <c r="I84" s="1">
        <v>41.925787</v>
      </c>
      <c r="J84" s="1">
        <v>-87.630476000000002</v>
      </c>
      <c r="K84" s="1">
        <v>41.892508999999997</v>
      </c>
      <c r="L84" s="1">
        <v>-87.611596000000006</v>
      </c>
      <c r="M84" s="1" t="s">
        <v>17</v>
      </c>
      <c r="N84" s="5">
        <f t="shared" si="3"/>
        <v>2.9745370338787325E-3</v>
      </c>
      <c r="O84" s="1">
        <f t="shared" si="4"/>
        <v>1</v>
      </c>
      <c r="P84" s="1" t="str">
        <f t="shared" si="5"/>
        <v>Sun</v>
      </c>
    </row>
    <row r="85" spans="1:16" x14ac:dyDescent="0.25">
      <c r="A85" s="1" t="s">
        <v>123</v>
      </c>
      <c r="B85" s="1" t="s">
        <v>14</v>
      </c>
      <c r="C85" s="2">
        <v>44991.215173611112</v>
      </c>
      <c r="D85" s="2">
        <v>44991.22792824074</v>
      </c>
      <c r="E85" s="1" t="s">
        <v>43</v>
      </c>
      <c r="F85" s="1" t="s">
        <v>44</v>
      </c>
      <c r="G85" s="1" t="s">
        <v>19</v>
      </c>
      <c r="H85" s="1" t="s">
        <v>20</v>
      </c>
      <c r="I85" s="1">
        <v>41.902856999999997</v>
      </c>
      <c r="J85" s="1">
        <v>-87.634625999999997</v>
      </c>
      <c r="K85" s="1">
        <v>41.925958000000001</v>
      </c>
      <c r="L85" s="1">
        <v>-87.631072000000003</v>
      </c>
      <c r="M85" s="1" t="s">
        <v>31</v>
      </c>
      <c r="N85" s="5">
        <f t="shared" si="3"/>
        <v>1.2754629628034309E-2</v>
      </c>
      <c r="O85" s="1">
        <f t="shared" si="4"/>
        <v>2</v>
      </c>
      <c r="P85" s="1" t="str">
        <f t="shared" si="5"/>
        <v>Mon</v>
      </c>
    </row>
    <row r="86" spans="1:16" x14ac:dyDescent="0.25">
      <c r="A86" s="1" t="s">
        <v>124</v>
      </c>
      <c r="B86" s="1" t="s">
        <v>14</v>
      </c>
      <c r="C86" s="2">
        <v>44992.929178240738</v>
      </c>
      <c r="D86" s="2">
        <v>44992.934189814812</v>
      </c>
      <c r="E86" s="1" t="s">
        <v>15</v>
      </c>
      <c r="F86" s="1">
        <v>13008</v>
      </c>
      <c r="G86" s="1" t="s">
        <v>16</v>
      </c>
      <c r="H86" s="1">
        <v>13045</v>
      </c>
      <c r="I86" s="1">
        <v>41.881354000000002</v>
      </c>
      <c r="J86" s="1">
        <v>-87.624450999999993</v>
      </c>
      <c r="K86" s="1">
        <v>41.894354</v>
      </c>
      <c r="L86" s="1">
        <v>-87.628895</v>
      </c>
      <c r="M86" s="1" t="s">
        <v>17</v>
      </c>
      <c r="N86" s="5">
        <f t="shared" si="3"/>
        <v>5.0115740741603076E-3</v>
      </c>
      <c r="O86" s="1">
        <f t="shared" si="4"/>
        <v>3</v>
      </c>
      <c r="P86" s="1" t="str">
        <f t="shared" si="5"/>
        <v>Tue</v>
      </c>
    </row>
    <row r="87" spans="1:16" x14ac:dyDescent="0.25">
      <c r="A87" s="1" t="s">
        <v>125</v>
      </c>
      <c r="B87" s="1" t="s">
        <v>14</v>
      </c>
      <c r="C87" s="2">
        <v>44996.260787037034</v>
      </c>
      <c r="D87" s="2">
        <v>44996.27034722222</v>
      </c>
      <c r="E87" s="1" t="s">
        <v>15</v>
      </c>
      <c r="F87" s="1">
        <v>13008</v>
      </c>
      <c r="G87" s="1" t="s">
        <v>15</v>
      </c>
      <c r="H87" s="1">
        <v>13008</v>
      </c>
      <c r="I87" s="1">
        <v>41.881374000000001</v>
      </c>
      <c r="J87" s="1">
        <v>-87.623738000000003</v>
      </c>
      <c r="K87" s="1">
        <v>41.881487</v>
      </c>
      <c r="L87" s="1">
        <v>-87.624429000000006</v>
      </c>
      <c r="M87" s="1" t="s">
        <v>31</v>
      </c>
      <c r="N87" s="5">
        <f t="shared" si="3"/>
        <v>9.560185186273884E-3</v>
      </c>
      <c r="O87" s="1">
        <f t="shared" si="4"/>
        <v>7</v>
      </c>
      <c r="P87" s="1" t="str">
        <f t="shared" si="5"/>
        <v>Sat</v>
      </c>
    </row>
    <row r="88" spans="1:16" x14ac:dyDescent="0.25">
      <c r="A88" s="1" t="s">
        <v>126</v>
      </c>
      <c r="B88" s="1" t="s">
        <v>14</v>
      </c>
      <c r="C88" s="2">
        <v>44996.628217592595</v>
      </c>
      <c r="D88" s="2">
        <v>44996.631550925929</v>
      </c>
      <c r="E88" s="1" t="s">
        <v>23</v>
      </c>
      <c r="F88" s="1">
        <v>13011</v>
      </c>
      <c r="G88" s="1" t="s">
        <v>23</v>
      </c>
      <c r="H88" s="1">
        <v>13011</v>
      </c>
      <c r="I88" s="1">
        <v>41.879555000000003</v>
      </c>
      <c r="J88" s="1">
        <v>-87.640169999999998</v>
      </c>
      <c r="K88" s="1">
        <v>41.879294999999999</v>
      </c>
      <c r="L88" s="1">
        <v>-87.639523999999994</v>
      </c>
      <c r="M88" s="1" t="s">
        <v>17</v>
      </c>
      <c r="N88" s="5">
        <f t="shared" si="3"/>
        <v>3.3333333340124227E-3</v>
      </c>
      <c r="O88" s="1">
        <f t="shared" si="4"/>
        <v>7</v>
      </c>
      <c r="P88" s="1" t="str">
        <f t="shared" si="5"/>
        <v>Sat</v>
      </c>
    </row>
    <row r="89" spans="1:16" x14ac:dyDescent="0.25">
      <c r="A89" s="1" t="s">
        <v>127</v>
      </c>
      <c r="B89" s="1" t="s">
        <v>26</v>
      </c>
      <c r="C89" s="2">
        <v>44997.074386574073</v>
      </c>
      <c r="D89" s="2">
        <v>44997.090567129628</v>
      </c>
      <c r="E89" s="1" t="s">
        <v>41</v>
      </c>
      <c r="F89" s="1" t="s">
        <v>42</v>
      </c>
      <c r="G89" s="1" t="s">
        <v>24</v>
      </c>
      <c r="H89" s="1">
        <v>13263</v>
      </c>
      <c r="I89" s="1">
        <v>41.903409000000003</v>
      </c>
      <c r="J89" s="1">
        <v>-87.631107999999998</v>
      </c>
      <c r="K89" s="1">
        <v>41.884709000000001</v>
      </c>
      <c r="L89" s="1">
        <v>-87.619211000000007</v>
      </c>
      <c r="M89" s="1" t="s">
        <v>17</v>
      </c>
      <c r="N89" s="5">
        <f t="shared" si="3"/>
        <v>1.6180555554456078E-2</v>
      </c>
      <c r="O89" s="1">
        <f t="shared" si="4"/>
        <v>1</v>
      </c>
      <c r="P89" s="1" t="str">
        <f t="shared" si="5"/>
        <v>Sun</v>
      </c>
    </row>
    <row r="90" spans="1:16" x14ac:dyDescent="0.25">
      <c r="A90" s="1" t="s">
        <v>128</v>
      </c>
      <c r="B90" s="1" t="s">
        <v>37</v>
      </c>
      <c r="C90" s="2">
        <v>44998.547326388885</v>
      </c>
      <c r="D90" s="2">
        <v>44998.554826388892</v>
      </c>
      <c r="E90" s="1" t="s">
        <v>21</v>
      </c>
      <c r="F90" s="1">
        <v>21213</v>
      </c>
      <c r="G90" s="1" t="s">
        <v>16</v>
      </c>
      <c r="H90" s="1">
        <v>13045</v>
      </c>
      <c r="I90" s="1">
        <v>41.835099</v>
      </c>
      <c r="J90" s="1">
        <v>-87.625711999999993</v>
      </c>
      <c r="K90" s="1">
        <v>41.894193000000001</v>
      </c>
      <c r="L90" s="1">
        <v>-87.629532999999995</v>
      </c>
      <c r="M90" s="1" t="s">
        <v>17</v>
      </c>
      <c r="N90" s="5">
        <f t="shared" si="3"/>
        <v>7.5000000069849193E-3</v>
      </c>
      <c r="O90" s="1">
        <f t="shared" si="4"/>
        <v>2</v>
      </c>
      <c r="P90" s="1" t="str">
        <f t="shared" si="5"/>
        <v>Mon</v>
      </c>
    </row>
    <row r="91" spans="1:16" x14ac:dyDescent="0.25">
      <c r="A91" s="1" t="s">
        <v>129</v>
      </c>
      <c r="B91" s="1" t="s">
        <v>14</v>
      </c>
      <c r="C91" s="2">
        <v>44999.175821759258</v>
      </c>
      <c r="D91" s="2">
        <v>44999.188078703701</v>
      </c>
      <c r="E91" s="1" t="s">
        <v>16</v>
      </c>
      <c r="F91" s="1">
        <v>13045</v>
      </c>
      <c r="G91" s="1" t="s">
        <v>21</v>
      </c>
      <c r="H91" s="1">
        <v>21213</v>
      </c>
      <c r="I91" s="1">
        <v>41.894060000000003</v>
      </c>
      <c r="J91" s="1">
        <v>-87.629165999999998</v>
      </c>
      <c r="K91" s="1">
        <v>41.834445000000002</v>
      </c>
      <c r="L91" s="1">
        <v>-87.625756999999993</v>
      </c>
      <c r="M91" s="1" t="s">
        <v>31</v>
      </c>
      <c r="N91" s="5">
        <f t="shared" si="3"/>
        <v>1.2256944442924578E-2</v>
      </c>
      <c r="O91" s="1">
        <f t="shared" si="4"/>
        <v>3</v>
      </c>
      <c r="P91" s="1" t="str">
        <f t="shared" si="5"/>
        <v>Tue</v>
      </c>
    </row>
    <row r="92" spans="1:16" x14ac:dyDescent="0.25">
      <c r="A92" s="1" t="s">
        <v>130</v>
      </c>
      <c r="B92" s="1" t="s">
        <v>14</v>
      </c>
      <c r="C92" s="2">
        <v>44999.978136574071</v>
      </c>
      <c r="D92" s="2">
        <v>44999.986655092594</v>
      </c>
      <c r="E92" s="1" t="s">
        <v>66</v>
      </c>
      <c r="F92" s="1">
        <v>13042</v>
      </c>
      <c r="G92" s="1" t="s">
        <v>66</v>
      </c>
      <c r="H92" s="1">
        <v>13042</v>
      </c>
      <c r="I92" s="1">
        <v>41.901065000000003</v>
      </c>
      <c r="J92" s="1">
        <v>-87.623749000000004</v>
      </c>
      <c r="K92" s="1">
        <v>41.901017000000003</v>
      </c>
      <c r="L92" s="1">
        <v>-87.623299000000003</v>
      </c>
      <c r="M92" s="1" t="s">
        <v>17</v>
      </c>
      <c r="N92" s="5">
        <f t="shared" si="3"/>
        <v>8.5185185234877281E-3</v>
      </c>
      <c r="O92" s="1">
        <f t="shared" si="4"/>
        <v>3</v>
      </c>
      <c r="P92" s="1" t="str">
        <f t="shared" si="5"/>
        <v>Tue</v>
      </c>
    </row>
    <row r="93" spans="1:16" x14ac:dyDescent="0.25">
      <c r="A93" s="1" t="s">
        <v>131</v>
      </c>
      <c r="B93" s="1" t="s">
        <v>14</v>
      </c>
      <c r="C93" s="2">
        <v>45000.141724537039</v>
      </c>
      <c r="D93" s="2">
        <v>45000.152731481481</v>
      </c>
      <c r="E93" s="1" t="s">
        <v>41</v>
      </c>
      <c r="F93" s="1" t="s">
        <v>42</v>
      </c>
      <c r="G93" s="1" t="s">
        <v>27</v>
      </c>
      <c r="H93" s="1" t="s">
        <v>28</v>
      </c>
      <c r="I93" s="1">
        <v>41.903238000000002</v>
      </c>
      <c r="J93" s="1">
        <v>-87.631108999999995</v>
      </c>
      <c r="K93" s="1">
        <v>41.889111999999997</v>
      </c>
      <c r="L93" s="1">
        <v>-87.638457000000002</v>
      </c>
      <c r="M93" s="1" t="s">
        <v>31</v>
      </c>
      <c r="N93" s="5">
        <f t="shared" si="3"/>
        <v>1.1006944441760425E-2</v>
      </c>
      <c r="O93" s="1">
        <f t="shared" si="4"/>
        <v>4</v>
      </c>
      <c r="P93" s="1" t="str">
        <f t="shared" si="5"/>
        <v>Wed</v>
      </c>
    </row>
    <row r="94" spans="1:16" x14ac:dyDescent="0.25">
      <c r="A94" s="1" t="s">
        <v>132</v>
      </c>
      <c r="B94" s="1" t="s">
        <v>26</v>
      </c>
      <c r="C94" s="2">
        <v>45000.156018518515</v>
      </c>
      <c r="D94" s="2">
        <v>45000.200601851851</v>
      </c>
      <c r="E94" s="1" t="s">
        <v>43</v>
      </c>
      <c r="F94" s="1" t="s">
        <v>44</v>
      </c>
      <c r="G94" s="1" t="s">
        <v>43</v>
      </c>
      <c r="H94" s="1" t="s">
        <v>44</v>
      </c>
      <c r="I94" s="1">
        <v>41.903010999999999</v>
      </c>
      <c r="J94" s="1">
        <v>-87.634715</v>
      </c>
      <c r="K94" s="1">
        <v>41.903373000000002</v>
      </c>
      <c r="L94" s="1">
        <v>-87.634058999999993</v>
      </c>
      <c r="M94" s="1" t="s">
        <v>17</v>
      </c>
      <c r="N94" s="5">
        <f t="shared" si="3"/>
        <v>4.4583333336049691E-2</v>
      </c>
      <c r="O94" s="1">
        <f t="shared" si="4"/>
        <v>4</v>
      </c>
      <c r="P94" s="1" t="str">
        <f t="shared" si="5"/>
        <v>Wed</v>
      </c>
    </row>
    <row r="95" spans="1:16" x14ac:dyDescent="0.25">
      <c r="A95" s="1" t="s">
        <v>133</v>
      </c>
      <c r="B95" s="1" t="s">
        <v>26</v>
      </c>
      <c r="C95" s="2">
        <v>45000.338460648149</v>
      </c>
      <c r="D95" s="2">
        <v>45000.345173611109</v>
      </c>
      <c r="E95" s="1" t="s">
        <v>15</v>
      </c>
      <c r="F95" s="1">
        <v>13008</v>
      </c>
      <c r="G95" s="1" t="s">
        <v>30</v>
      </c>
      <c r="H95" s="1">
        <v>13137</v>
      </c>
      <c r="I95" s="1">
        <v>41.881329999999998</v>
      </c>
      <c r="J95" s="1">
        <v>-87.624188000000004</v>
      </c>
      <c r="K95" s="1">
        <v>41.937997000000003</v>
      </c>
      <c r="L95" s="1">
        <v>-87.644064999999998</v>
      </c>
      <c r="M95" s="1" t="s">
        <v>17</v>
      </c>
      <c r="N95" s="5">
        <f t="shared" si="3"/>
        <v>6.7129629605915397E-3</v>
      </c>
      <c r="O95" s="1">
        <f t="shared" si="4"/>
        <v>4</v>
      </c>
      <c r="P95" s="1" t="str">
        <f t="shared" si="5"/>
        <v>Wed</v>
      </c>
    </row>
    <row r="96" spans="1:16" x14ac:dyDescent="0.25">
      <c r="A96" s="1" t="s">
        <v>134</v>
      </c>
      <c r="B96" s="1" t="s">
        <v>37</v>
      </c>
      <c r="C96" s="2">
        <v>45002.49318287037</v>
      </c>
      <c r="D96" s="2">
        <v>45002.497870370367</v>
      </c>
      <c r="E96" s="1" t="s">
        <v>19</v>
      </c>
      <c r="F96" s="1" t="s">
        <v>20</v>
      </c>
      <c r="G96" s="1" t="s">
        <v>41</v>
      </c>
      <c r="H96" s="1" t="s">
        <v>42</v>
      </c>
      <c r="I96" s="1">
        <v>41.926065999999999</v>
      </c>
      <c r="J96" s="1">
        <v>-87.630381999999997</v>
      </c>
      <c r="K96" s="1">
        <v>41.902523000000002</v>
      </c>
      <c r="L96" s="1">
        <v>-87.631630000000001</v>
      </c>
      <c r="M96" s="1" t="s">
        <v>17</v>
      </c>
      <c r="N96" s="5">
        <f t="shared" si="3"/>
        <v>4.687499997089617E-3</v>
      </c>
      <c r="O96" s="1">
        <f t="shared" si="4"/>
        <v>6</v>
      </c>
      <c r="P96" s="1" t="str">
        <f t="shared" si="5"/>
        <v>Fri</v>
      </c>
    </row>
    <row r="97" spans="1:16" x14ac:dyDescent="0.25">
      <c r="A97" s="1" t="s">
        <v>135</v>
      </c>
      <c r="B97" s="1" t="s">
        <v>37</v>
      </c>
      <c r="C97" s="2">
        <v>45003.018136574072</v>
      </c>
      <c r="D97" s="2">
        <v>45003.034143518518</v>
      </c>
      <c r="E97" s="1" t="s">
        <v>35</v>
      </c>
      <c r="F97" s="1">
        <v>13022</v>
      </c>
      <c r="G97" s="1" t="s">
        <v>27</v>
      </c>
      <c r="H97" s="1" t="s">
        <v>28</v>
      </c>
      <c r="I97" s="1">
        <v>41.892437000000001</v>
      </c>
      <c r="J97" s="1">
        <v>-87.612149000000002</v>
      </c>
      <c r="K97" s="1">
        <v>41.889327999999999</v>
      </c>
      <c r="L97" s="1">
        <v>-87.638898999999995</v>
      </c>
      <c r="M97" s="1" t="s">
        <v>17</v>
      </c>
      <c r="N97" s="5">
        <f t="shared" si="3"/>
        <v>1.6006944446417037E-2</v>
      </c>
      <c r="O97" s="1">
        <f t="shared" si="4"/>
        <v>7</v>
      </c>
      <c r="P97" s="1" t="str">
        <f t="shared" si="5"/>
        <v>Sat</v>
      </c>
    </row>
    <row r="98" spans="1:16" x14ac:dyDescent="0.25">
      <c r="A98" s="1" t="s">
        <v>136</v>
      </c>
      <c r="B98" s="1" t="s">
        <v>14</v>
      </c>
      <c r="C98" s="2">
        <v>45003.783807870372</v>
      </c>
      <c r="D98" s="2">
        <v>45003.799120370371</v>
      </c>
      <c r="E98" s="1" t="s">
        <v>66</v>
      </c>
      <c r="F98" s="1">
        <v>13042</v>
      </c>
      <c r="G98" s="1" t="s">
        <v>66</v>
      </c>
      <c r="H98" s="1">
        <v>13042</v>
      </c>
      <c r="I98" s="1">
        <v>41.900812000000002</v>
      </c>
      <c r="J98" s="1">
        <v>-87.623514999999998</v>
      </c>
      <c r="K98" s="1">
        <v>41.900967000000001</v>
      </c>
      <c r="L98" s="1">
        <v>-87.623638999999997</v>
      </c>
      <c r="M98" s="1" t="s">
        <v>31</v>
      </c>
      <c r="N98" s="5">
        <f t="shared" si="3"/>
        <v>1.5312499999708962E-2</v>
      </c>
      <c r="O98" s="1">
        <f t="shared" si="4"/>
        <v>7</v>
      </c>
      <c r="P98" s="1" t="str">
        <f t="shared" si="5"/>
        <v>Sat</v>
      </c>
    </row>
    <row r="99" spans="1:16" x14ac:dyDescent="0.25">
      <c r="A99" s="1" t="s">
        <v>137</v>
      </c>
      <c r="B99" s="1" t="s">
        <v>14</v>
      </c>
      <c r="C99" s="2">
        <v>45005.054930555554</v>
      </c>
      <c r="D99" s="2">
        <v>45005.064664351848</v>
      </c>
      <c r="E99" s="1" t="s">
        <v>16</v>
      </c>
      <c r="F99" s="1">
        <v>13045</v>
      </c>
      <c r="G99" s="1" t="s">
        <v>16</v>
      </c>
      <c r="H99" s="1">
        <v>13045</v>
      </c>
      <c r="I99" s="1">
        <v>41.893939000000003</v>
      </c>
      <c r="J99" s="1">
        <v>-87.628988000000007</v>
      </c>
      <c r="K99" s="1">
        <v>41.894146999999997</v>
      </c>
      <c r="L99" s="1">
        <v>-87.629407</v>
      </c>
      <c r="M99" s="1" t="s">
        <v>17</v>
      </c>
      <c r="N99" s="5">
        <f t="shared" si="3"/>
        <v>9.7337962943129241E-3</v>
      </c>
      <c r="O99" s="1">
        <f t="shared" si="4"/>
        <v>2</v>
      </c>
      <c r="P99" s="1" t="str">
        <f t="shared" si="5"/>
        <v>Mon</v>
      </c>
    </row>
    <row r="100" spans="1:16" x14ac:dyDescent="0.25">
      <c r="A100" s="1" t="s">
        <v>138</v>
      </c>
      <c r="B100" s="1" t="s">
        <v>14</v>
      </c>
      <c r="C100" s="2">
        <v>45005.193761574075</v>
      </c>
      <c r="D100" s="2">
        <v>45005.207800925928</v>
      </c>
      <c r="E100" s="1" t="s">
        <v>21</v>
      </c>
      <c r="F100" s="1">
        <v>21213</v>
      </c>
      <c r="G100" s="1" t="s">
        <v>57</v>
      </c>
      <c r="H100" s="1" t="s">
        <v>58</v>
      </c>
      <c r="I100" s="1">
        <v>41.834921000000001</v>
      </c>
      <c r="J100" s="1">
        <v>-87.625468999999995</v>
      </c>
      <c r="K100" s="1">
        <v>41.912382999999998</v>
      </c>
      <c r="L100" s="1">
        <v>-87.635126</v>
      </c>
      <c r="M100" s="1" t="s">
        <v>17</v>
      </c>
      <c r="N100" s="5">
        <f t="shared" si="3"/>
        <v>1.4039351852261461E-2</v>
      </c>
      <c r="O100" s="1">
        <f t="shared" si="4"/>
        <v>2</v>
      </c>
      <c r="P100" s="1" t="str">
        <f t="shared" si="5"/>
        <v>Mon</v>
      </c>
    </row>
    <row r="101" spans="1:16" x14ac:dyDescent="0.25">
      <c r="A101" s="1" t="s">
        <v>139</v>
      </c>
      <c r="B101" s="1" t="s">
        <v>14</v>
      </c>
      <c r="C101" s="2">
        <v>45005.633703703701</v>
      </c>
      <c r="D101" s="2">
        <v>45005.665833333333</v>
      </c>
      <c r="E101" s="1" t="s">
        <v>57</v>
      </c>
      <c r="F101" s="1" t="s">
        <v>58</v>
      </c>
      <c r="G101" s="1" t="s">
        <v>35</v>
      </c>
      <c r="H101" s="1">
        <v>13022</v>
      </c>
      <c r="I101" s="1">
        <v>41.911991999999998</v>
      </c>
      <c r="J101" s="1">
        <v>-87.634626999999995</v>
      </c>
      <c r="K101" s="1">
        <v>41.892361999999999</v>
      </c>
      <c r="L101" s="1">
        <v>-87.611745999999997</v>
      </c>
      <c r="M101" s="1" t="s">
        <v>31</v>
      </c>
      <c r="N101" s="5">
        <f t="shared" si="3"/>
        <v>3.2129629631526768E-2</v>
      </c>
      <c r="O101" s="1">
        <f t="shared" si="4"/>
        <v>2</v>
      </c>
      <c r="P101" s="1" t="str">
        <f t="shared" si="5"/>
        <v>Mon</v>
      </c>
    </row>
    <row r="102" spans="1:16" x14ac:dyDescent="0.25">
      <c r="A102" s="1" t="s">
        <v>140</v>
      </c>
      <c r="B102" s="1" t="s">
        <v>37</v>
      </c>
      <c r="C102" s="2">
        <v>45007.5621875</v>
      </c>
      <c r="D102" s="2">
        <v>45007.569710648146</v>
      </c>
      <c r="E102" s="1" t="s">
        <v>21</v>
      </c>
      <c r="F102" s="1">
        <v>21213</v>
      </c>
      <c r="G102" s="1" t="s">
        <v>27</v>
      </c>
      <c r="H102" s="1" t="s">
        <v>28</v>
      </c>
      <c r="I102" s="1">
        <v>41.834482999999999</v>
      </c>
      <c r="J102" s="1">
        <v>-87.625905000000003</v>
      </c>
      <c r="K102" s="1">
        <v>41.888956999999998</v>
      </c>
      <c r="L102" s="1">
        <v>-87.638869999999997</v>
      </c>
      <c r="M102" s="1" t="s">
        <v>31</v>
      </c>
      <c r="N102" s="5">
        <f t="shared" si="3"/>
        <v>7.5231481459923089E-3</v>
      </c>
      <c r="O102" s="1">
        <f t="shared" si="4"/>
        <v>4</v>
      </c>
      <c r="P102" s="1" t="str">
        <f t="shared" si="5"/>
        <v>Wed</v>
      </c>
    </row>
    <row r="103" spans="1:16" x14ac:dyDescent="0.25">
      <c r="A103" s="1" t="s">
        <v>141</v>
      </c>
      <c r="B103" s="1" t="s">
        <v>14</v>
      </c>
      <c r="C103" s="2">
        <v>45008.911944444444</v>
      </c>
      <c r="D103" s="2">
        <v>45008.943356481483</v>
      </c>
      <c r="E103" s="1" t="s">
        <v>15</v>
      </c>
      <c r="F103" s="1">
        <v>13008</v>
      </c>
      <c r="G103" s="1" t="s">
        <v>21</v>
      </c>
      <c r="H103" s="1">
        <v>21213</v>
      </c>
      <c r="I103" s="1">
        <v>41.880575</v>
      </c>
      <c r="J103" s="1">
        <v>-87.624138000000002</v>
      </c>
      <c r="K103" s="1">
        <v>41.834304000000003</v>
      </c>
      <c r="L103" s="1">
        <v>-87.625584000000003</v>
      </c>
      <c r="M103" s="1" t="s">
        <v>31</v>
      </c>
      <c r="N103" s="5">
        <f t="shared" si="3"/>
        <v>3.1412037038535345E-2</v>
      </c>
      <c r="O103" s="1">
        <f t="shared" si="4"/>
        <v>5</v>
      </c>
      <c r="P103" s="1" t="str">
        <f t="shared" si="5"/>
        <v>Thu</v>
      </c>
    </row>
    <row r="104" spans="1:16" x14ac:dyDescent="0.25">
      <c r="A104" s="1" t="s">
        <v>142</v>
      </c>
      <c r="B104" s="1" t="s">
        <v>37</v>
      </c>
      <c r="C104" s="2">
        <v>45009.045266203706</v>
      </c>
      <c r="D104" s="2">
        <v>45009.067708333336</v>
      </c>
      <c r="E104" s="1" t="s">
        <v>57</v>
      </c>
      <c r="F104" s="1" t="s">
        <v>58</v>
      </c>
      <c r="G104" s="1" t="s">
        <v>15</v>
      </c>
      <c r="H104" s="1">
        <v>13008</v>
      </c>
      <c r="I104" s="1">
        <v>41.912272999999999</v>
      </c>
      <c r="J104" s="1">
        <v>-87.634842000000006</v>
      </c>
      <c r="K104" s="1">
        <v>41.881489999999999</v>
      </c>
      <c r="L104" s="1">
        <v>-87.624550999999997</v>
      </c>
      <c r="M104" s="1" t="s">
        <v>31</v>
      </c>
      <c r="N104" s="5">
        <f t="shared" si="3"/>
        <v>2.2442129629780538E-2</v>
      </c>
      <c r="O104" s="1">
        <f t="shared" si="4"/>
        <v>6</v>
      </c>
      <c r="P104" s="1" t="str">
        <f t="shared" si="5"/>
        <v>Fri</v>
      </c>
    </row>
    <row r="105" spans="1:16" x14ac:dyDescent="0.25">
      <c r="A105" s="1" t="s">
        <v>143</v>
      </c>
      <c r="B105" s="1" t="s">
        <v>37</v>
      </c>
      <c r="C105" s="2">
        <v>45012.098009259258</v>
      </c>
      <c r="D105" s="2">
        <v>45012.102060185185</v>
      </c>
      <c r="E105" s="1" t="s">
        <v>47</v>
      </c>
      <c r="F105" s="1" t="s">
        <v>48</v>
      </c>
      <c r="G105" s="1" t="s">
        <v>24</v>
      </c>
      <c r="H105" s="1">
        <v>13263</v>
      </c>
      <c r="I105" s="1">
        <v>41.882620000000003</v>
      </c>
      <c r="J105" s="1">
        <v>-87.640809000000004</v>
      </c>
      <c r="K105" s="1">
        <v>41.884275000000002</v>
      </c>
      <c r="L105" s="1">
        <v>-87.619752000000005</v>
      </c>
      <c r="M105" s="1" t="s">
        <v>17</v>
      </c>
      <c r="N105" s="5">
        <f t="shared" si="3"/>
        <v>4.0509259270038456E-3</v>
      </c>
      <c r="O105" s="1">
        <f t="shared" si="4"/>
        <v>2</v>
      </c>
      <c r="P105" s="1" t="str">
        <f t="shared" si="5"/>
        <v>Mon</v>
      </c>
    </row>
    <row r="106" spans="1:16" x14ac:dyDescent="0.25">
      <c r="A106" s="1" t="s">
        <v>144</v>
      </c>
      <c r="B106" s="1" t="s">
        <v>14</v>
      </c>
      <c r="C106" s="2">
        <v>45012.816990740743</v>
      </c>
      <c r="D106" s="2">
        <v>45012.820509259262</v>
      </c>
      <c r="E106" s="1" t="s">
        <v>27</v>
      </c>
      <c r="F106" s="1" t="s">
        <v>28</v>
      </c>
      <c r="G106" s="1" t="s">
        <v>27</v>
      </c>
      <c r="H106" s="1" t="s">
        <v>28</v>
      </c>
      <c r="I106" s="1">
        <v>41.889532000000003</v>
      </c>
      <c r="J106" s="1">
        <v>-87.638301999999996</v>
      </c>
      <c r="K106" s="1">
        <v>41.889150999999998</v>
      </c>
      <c r="L106" s="1">
        <v>-87.638908000000001</v>
      </c>
      <c r="M106" s="1" t="s">
        <v>17</v>
      </c>
      <c r="N106" s="5">
        <f t="shared" si="3"/>
        <v>3.5185185188311152E-3</v>
      </c>
      <c r="O106" s="1">
        <f t="shared" si="4"/>
        <v>2</v>
      </c>
      <c r="P106" s="1" t="str">
        <f t="shared" si="5"/>
        <v>Mon</v>
      </c>
    </row>
    <row r="107" spans="1:16" x14ac:dyDescent="0.25">
      <c r="A107" s="1" t="s">
        <v>145</v>
      </c>
      <c r="B107" s="1" t="s">
        <v>37</v>
      </c>
      <c r="C107" s="2">
        <v>45013.132569444446</v>
      </c>
      <c r="D107" s="2">
        <v>45013.142152777778</v>
      </c>
      <c r="E107" s="1" t="s">
        <v>24</v>
      </c>
      <c r="F107" s="1">
        <v>13263</v>
      </c>
      <c r="G107" s="1" t="s">
        <v>21</v>
      </c>
      <c r="H107" s="1">
        <v>21213</v>
      </c>
      <c r="I107" s="1">
        <v>41.885223000000003</v>
      </c>
      <c r="J107" s="1">
        <v>-87.619164999999995</v>
      </c>
      <c r="K107" s="1">
        <v>41.834755000000001</v>
      </c>
      <c r="L107" s="1">
        <v>-87.626249000000001</v>
      </c>
      <c r="M107" s="1" t="s">
        <v>17</v>
      </c>
      <c r="N107" s="5">
        <f t="shared" si="3"/>
        <v>9.5833333325572312E-3</v>
      </c>
      <c r="O107" s="1">
        <f t="shared" si="4"/>
        <v>3</v>
      </c>
      <c r="P107" s="1" t="str">
        <f t="shared" si="5"/>
        <v>Tue</v>
      </c>
    </row>
    <row r="108" spans="1:16" x14ac:dyDescent="0.25">
      <c r="A108" s="1" t="s">
        <v>146</v>
      </c>
      <c r="B108" s="1" t="s">
        <v>37</v>
      </c>
      <c r="C108" s="2">
        <v>45013.362500000003</v>
      </c>
      <c r="D108" s="2">
        <v>45013.365543981483</v>
      </c>
      <c r="E108" s="1" t="s">
        <v>66</v>
      </c>
      <c r="F108" s="1">
        <v>13042</v>
      </c>
      <c r="G108" s="1" t="s">
        <v>66</v>
      </c>
      <c r="H108" s="1">
        <v>13042</v>
      </c>
      <c r="I108" s="1">
        <v>41.901417000000002</v>
      </c>
      <c r="J108" s="1">
        <v>-87.623538999999994</v>
      </c>
      <c r="K108" s="1">
        <v>41.900812999999999</v>
      </c>
      <c r="L108" s="1">
        <v>-87.623980000000003</v>
      </c>
      <c r="M108" s="1" t="s">
        <v>17</v>
      </c>
      <c r="N108" s="5">
        <f t="shared" si="3"/>
        <v>3.0439814800047316E-3</v>
      </c>
      <c r="O108" s="1">
        <f t="shared" si="4"/>
        <v>3</v>
      </c>
      <c r="P108" s="1" t="str">
        <f t="shared" si="5"/>
        <v>Tue</v>
      </c>
    </row>
    <row r="109" spans="1:16" x14ac:dyDescent="0.25">
      <c r="A109" s="1" t="s">
        <v>147</v>
      </c>
      <c r="B109" s="1" t="s">
        <v>37</v>
      </c>
      <c r="C109" s="2">
        <v>45013.460266203707</v>
      </c>
      <c r="D109" s="2">
        <v>45013.469571759262</v>
      </c>
      <c r="E109" s="1" t="s">
        <v>33</v>
      </c>
      <c r="F109" s="1" t="s">
        <v>34</v>
      </c>
      <c r="G109" s="1" t="s">
        <v>33</v>
      </c>
      <c r="H109" s="1" t="s">
        <v>34</v>
      </c>
      <c r="I109" s="1">
        <v>41.886817999999998</v>
      </c>
      <c r="J109" s="1">
        <v>-87.612882999999997</v>
      </c>
      <c r="K109" s="1">
        <v>41.887307</v>
      </c>
      <c r="L109" s="1">
        <v>-87.613192999999995</v>
      </c>
      <c r="M109" s="1" t="s">
        <v>31</v>
      </c>
      <c r="N109" s="5">
        <f t="shared" si="3"/>
        <v>9.3055555553291924E-3</v>
      </c>
      <c r="O109" s="1">
        <f t="shared" si="4"/>
        <v>3</v>
      </c>
      <c r="P109" s="1" t="str">
        <f t="shared" si="5"/>
        <v>Tue</v>
      </c>
    </row>
    <row r="110" spans="1:16" x14ac:dyDescent="0.25">
      <c r="A110" s="1" t="s">
        <v>148</v>
      </c>
      <c r="B110" s="1" t="s">
        <v>14</v>
      </c>
      <c r="C110" s="2">
        <v>45014.129282407404</v>
      </c>
      <c r="D110" s="2">
        <v>45014.141458333332</v>
      </c>
      <c r="E110" s="1" t="s">
        <v>33</v>
      </c>
      <c r="F110" s="1" t="s">
        <v>34</v>
      </c>
      <c r="G110" s="1" t="s">
        <v>41</v>
      </c>
      <c r="H110" s="1" t="s">
        <v>42</v>
      </c>
      <c r="I110" s="1">
        <v>41.886986999999998</v>
      </c>
      <c r="J110" s="1">
        <v>-87.612708999999995</v>
      </c>
      <c r="K110" s="1">
        <v>41.902934000000002</v>
      </c>
      <c r="L110" s="1">
        <v>-87.630950999999996</v>
      </c>
      <c r="M110" s="1" t="s">
        <v>17</v>
      </c>
      <c r="N110" s="5">
        <f t="shared" si="3"/>
        <v>1.2175925927294884E-2</v>
      </c>
      <c r="O110" s="1">
        <f t="shared" si="4"/>
        <v>4</v>
      </c>
      <c r="P110" s="1" t="str">
        <f t="shared" si="5"/>
        <v>Wed</v>
      </c>
    </row>
    <row r="111" spans="1:16" x14ac:dyDescent="0.25">
      <c r="A111" s="1" t="s">
        <v>149</v>
      </c>
      <c r="B111" s="1" t="s">
        <v>14</v>
      </c>
      <c r="C111" s="2">
        <v>45015.074444444443</v>
      </c>
      <c r="D111" s="2">
        <v>45015.087361111109</v>
      </c>
      <c r="E111" s="1" t="s">
        <v>47</v>
      </c>
      <c r="F111" s="1" t="s">
        <v>48</v>
      </c>
      <c r="G111" s="1" t="s">
        <v>66</v>
      </c>
      <c r="H111" s="1">
        <v>13042</v>
      </c>
      <c r="I111" s="1">
        <v>41.882040000000003</v>
      </c>
      <c r="J111" s="1">
        <v>-87.641001000000003</v>
      </c>
      <c r="K111" s="1">
        <v>41.901148999999997</v>
      </c>
      <c r="L111" s="1">
        <v>-87.623403999999994</v>
      </c>
      <c r="M111" s="1" t="s">
        <v>31</v>
      </c>
      <c r="N111" s="5">
        <f t="shared" si="3"/>
        <v>1.2916666666569654E-2</v>
      </c>
      <c r="O111" s="1">
        <f t="shared" si="4"/>
        <v>5</v>
      </c>
      <c r="P111" s="1" t="str">
        <f t="shared" si="5"/>
        <v>Thu</v>
      </c>
    </row>
    <row r="112" spans="1:16" x14ac:dyDescent="0.25">
      <c r="A112" s="1" t="s">
        <v>150</v>
      </c>
      <c r="B112" s="1" t="s">
        <v>37</v>
      </c>
      <c r="C112" s="2">
        <v>45018.376631944448</v>
      </c>
      <c r="D112" s="2">
        <v>45018.406458333331</v>
      </c>
      <c r="E112" s="1" t="s">
        <v>43</v>
      </c>
      <c r="F112" s="1" t="s">
        <v>44</v>
      </c>
      <c r="G112" s="1" t="s">
        <v>19</v>
      </c>
      <c r="H112" s="1" t="s">
        <v>20</v>
      </c>
      <c r="I112" s="1">
        <v>41.903224999999999</v>
      </c>
      <c r="J112" s="1">
        <v>-87.634767999999994</v>
      </c>
      <c r="K112" s="1">
        <v>41.926268</v>
      </c>
      <c r="L112" s="1">
        <v>-87.630407000000005</v>
      </c>
      <c r="M112" s="1" t="s">
        <v>31</v>
      </c>
      <c r="N112" s="5">
        <f t="shared" si="3"/>
        <v>2.9826388883520849E-2</v>
      </c>
      <c r="O112" s="1">
        <f t="shared" si="4"/>
        <v>1</v>
      </c>
      <c r="P112" s="1" t="str">
        <f t="shared" si="5"/>
        <v>Sun</v>
      </c>
    </row>
    <row r="113" spans="1:16" x14ac:dyDescent="0.25">
      <c r="A113" s="1" t="s">
        <v>151</v>
      </c>
      <c r="B113" s="1" t="s">
        <v>14</v>
      </c>
      <c r="C113" s="2">
        <v>45019.700289351851</v>
      </c>
      <c r="D113" s="2">
        <v>45019.705381944441</v>
      </c>
      <c r="E113" s="1" t="s">
        <v>43</v>
      </c>
      <c r="F113" s="1" t="s">
        <v>44</v>
      </c>
      <c r="G113" s="1" t="s">
        <v>30</v>
      </c>
      <c r="H113" s="1">
        <v>13137</v>
      </c>
      <c r="I113" s="1">
        <v>41.903651000000004</v>
      </c>
      <c r="J113" s="1">
        <v>-87.634084999999999</v>
      </c>
      <c r="K113" s="1">
        <v>41.937387999999999</v>
      </c>
      <c r="L113" s="1">
        <v>-87.644333000000003</v>
      </c>
      <c r="M113" s="1" t="s">
        <v>31</v>
      </c>
      <c r="N113" s="5">
        <f t="shared" si="3"/>
        <v>5.0925925897900015E-3</v>
      </c>
      <c r="O113" s="1">
        <f t="shared" si="4"/>
        <v>2</v>
      </c>
      <c r="P113" s="1" t="str">
        <f t="shared" si="5"/>
        <v>Mon</v>
      </c>
    </row>
    <row r="114" spans="1:16" x14ac:dyDescent="0.25">
      <c r="A114" s="1" t="s">
        <v>152</v>
      </c>
      <c r="B114" s="1" t="s">
        <v>14</v>
      </c>
      <c r="C114" s="2">
        <v>45020.341805555552</v>
      </c>
      <c r="D114" s="2">
        <v>45020.352083333331</v>
      </c>
      <c r="E114" s="1" t="s">
        <v>19</v>
      </c>
      <c r="F114" s="1" t="s">
        <v>20</v>
      </c>
      <c r="G114" s="1" t="s">
        <v>19</v>
      </c>
      <c r="H114" s="1" t="s">
        <v>20</v>
      </c>
      <c r="I114" s="1">
        <v>41.926360000000003</v>
      </c>
      <c r="J114" s="1">
        <v>-87.630741</v>
      </c>
      <c r="K114" s="1">
        <v>41.926132000000003</v>
      </c>
      <c r="L114" s="1">
        <v>-87.631281999999999</v>
      </c>
      <c r="M114" s="1" t="s">
        <v>17</v>
      </c>
      <c r="N114" s="5">
        <f t="shared" si="3"/>
        <v>1.0277777779265307E-2</v>
      </c>
      <c r="O114" s="1">
        <f t="shared" si="4"/>
        <v>3</v>
      </c>
      <c r="P114" s="1" t="str">
        <f t="shared" si="5"/>
        <v>Tue</v>
      </c>
    </row>
    <row r="115" spans="1:16" x14ac:dyDescent="0.25">
      <c r="A115" s="1" t="s">
        <v>153</v>
      </c>
      <c r="B115" s="1" t="s">
        <v>26</v>
      </c>
      <c r="C115" s="2">
        <v>45021.515231481484</v>
      </c>
      <c r="D115" s="2">
        <v>45021.536724537036</v>
      </c>
      <c r="E115" s="1" t="s">
        <v>21</v>
      </c>
      <c r="F115" s="1">
        <v>21213</v>
      </c>
      <c r="G115" s="1" t="s">
        <v>27</v>
      </c>
      <c r="H115" s="1" t="s">
        <v>28</v>
      </c>
      <c r="I115" s="1">
        <v>41.834291</v>
      </c>
      <c r="J115" s="1">
        <v>-87.625382000000002</v>
      </c>
      <c r="K115" s="1">
        <v>41.888728</v>
      </c>
      <c r="L115" s="1">
        <v>-87.638458999999997</v>
      </c>
      <c r="M115" s="1" t="s">
        <v>17</v>
      </c>
      <c r="N115" s="5">
        <f t="shared" si="3"/>
        <v>2.1493055552127771E-2</v>
      </c>
      <c r="O115" s="1">
        <f t="shared" si="4"/>
        <v>4</v>
      </c>
      <c r="P115" s="1" t="str">
        <f t="shared" si="5"/>
        <v>Wed</v>
      </c>
    </row>
    <row r="116" spans="1:16" x14ac:dyDescent="0.25">
      <c r="A116" s="1" t="s">
        <v>154</v>
      </c>
      <c r="B116" s="1" t="s">
        <v>37</v>
      </c>
      <c r="C116" s="2">
        <v>45021.554155092592</v>
      </c>
      <c r="D116" s="2">
        <v>45021.614027777781</v>
      </c>
      <c r="E116" s="1" t="s">
        <v>41</v>
      </c>
      <c r="F116" s="1" t="s">
        <v>42</v>
      </c>
      <c r="G116" s="1" t="s">
        <v>43</v>
      </c>
      <c r="H116" s="1" t="s">
        <v>44</v>
      </c>
      <c r="I116" s="1">
        <v>41.902678000000002</v>
      </c>
      <c r="J116" s="1">
        <v>-87.631400999999997</v>
      </c>
      <c r="K116" s="1">
        <v>41.903647999999997</v>
      </c>
      <c r="L116" s="1">
        <v>-87.634101999999999</v>
      </c>
      <c r="M116" s="1" t="s">
        <v>31</v>
      </c>
      <c r="N116" s="5">
        <f t="shared" si="3"/>
        <v>5.9872685189475305E-2</v>
      </c>
      <c r="O116" s="1">
        <f t="shared" si="4"/>
        <v>4</v>
      </c>
      <c r="P116" s="1" t="str">
        <f t="shared" si="5"/>
        <v>Wed</v>
      </c>
    </row>
    <row r="117" spans="1:16" x14ac:dyDescent="0.25">
      <c r="A117" s="1" t="s">
        <v>155</v>
      </c>
      <c r="B117" s="1" t="s">
        <v>14</v>
      </c>
      <c r="C117" s="2">
        <v>45023.689155092594</v>
      </c>
      <c r="D117" s="2">
        <v>45023.699074074073</v>
      </c>
      <c r="E117" s="1" t="s">
        <v>21</v>
      </c>
      <c r="F117" s="1">
        <v>21213</v>
      </c>
      <c r="G117" s="1" t="s">
        <v>35</v>
      </c>
      <c r="H117" s="1">
        <v>13022</v>
      </c>
      <c r="I117" s="1">
        <v>41.834952999999999</v>
      </c>
      <c r="J117" s="1">
        <v>-87.626202000000006</v>
      </c>
      <c r="K117" s="1">
        <v>41.891813999999997</v>
      </c>
      <c r="L117" s="1">
        <v>-87.611548999999997</v>
      </c>
      <c r="M117" s="1" t="s">
        <v>31</v>
      </c>
      <c r="N117" s="5">
        <f t="shared" si="3"/>
        <v>9.9189814791316167E-3</v>
      </c>
      <c r="O117" s="1">
        <f t="shared" si="4"/>
        <v>6</v>
      </c>
      <c r="P117" s="1" t="str">
        <f t="shared" si="5"/>
        <v>Fri</v>
      </c>
    </row>
    <row r="118" spans="1:16" x14ac:dyDescent="0.25">
      <c r="A118" s="1" t="s">
        <v>156</v>
      </c>
      <c r="B118" s="1" t="s">
        <v>14</v>
      </c>
      <c r="C118" s="2">
        <v>45023.921782407408</v>
      </c>
      <c r="D118" s="2">
        <v>45023.942094907405</v>
      </c>
      <c r="E118" s="1" t="s">
        <v>24</v>
      </c>
      <c r="F118" s="1">
        <v>13263</v>
      </c>
      <c r="G118" s="1" t="s">
        <v>66</v>
      </c>
      <c r="H118" s="1">
        <v>13042</v>
      </c>
      <c r="I118" s="1">
        <v>41.884855999999999</v>
      </c>
      <c r="J118" s="1">
        <v>-87.619828999999996</v>
      </c>
      <c r="K118" s="1">
        <v>41.900606000000003</v>
      </c>
      <c r="L118" s="1">
        <v>-87.623339000000001</v>
      </c>
      <c r="M118" s="1" t="s">
        <v>31</v>
      </c>
      <c r="N118" s="5">
        <f t="shared" si="3"/>
        <v>2.0312499997089617E-2</v>
      </c>
      <c r="O118" s="1">
        <f t="shared" si="4"/>
        <v>6</v>
      </c>
      <c r="P118" s="1" t="str">
        <f t="shared" si="5"/>
        <v>Fri</v>
      </c>
    </row>
    <row r="119" spans="1:16" x14ac:dyDescent="0.25">
      <c r="A119" s="1" t="s">
        <v>157</v>
      </c>
      <c r="B119" s="1" t="s">
        <v>37</v>
      </c>
      <c r="C119" s="2">
        <v>45024.405949074076</v>
      </c>
      <c r="D119" s="2">
        <v>45024.412430555552</v>
      </c>
      <c r="E119" s="1" t="s">
        <v>57</v>
      </c>
      <c r="F119" s="1" t="s">
        <v>58</v>
      </c>
      <c r="G119" s="1" t="s">
        <v>35</v>
      </c>
      <c r="H119" s="1">
        <v>13022</v>
      </c>
      <c r="I119" s="1">
        <v>41.912166999999997</v>
      </c>
      <c r="J119" s="1">
        <v>-87.634405999999998</v>
      </c>
      <c r="K119" s="1">
        <v>41.892690999999999</v>
      </c>
      <c r="L119" s="1">
        <v>-87.611958000000001</v>
      </c>
      <c r="M119" s="1" t="s">
        <v>31</v>
      </c>
      <c r="N119" s="5">
        <f t="shared" si="3"/>
        <v>6.4814814759301953E-3</v>
      </c>
      <c r="O119" s="1">
        <f t="shared" si="4"/>
        <v>7</v>
      </c>
      <c r="P119" s="1" t="str">
        <f t="shared" si="5"/>
        <v>Sat</v>
      </c>
    </row>
    <row r="120" spans="1:16" x14ac:dyDescent="0.25">
      <c r="A120" s="1" t="s">
        <v>158</v>
      </c>
      <c r="B120" s="1" t="s">
        <v>26</v>
      </c>
      <c r="C120" s="2">
        <v>45024.811793981484</v>
      </c>
      <c r="D120" s="2">
        <v>45024.818692129629</v>
      </c>
      <c r="E120" s="1" t="s">
        <v>27</v>
      </c>
      <c r="F120" s="1" t="s">
        <v>28</v>
      </c>
      <c r="G120" s="1" t="s">
        <v>21</v>
      </c>
      <c r="H120" s="1">
        <v>21213</v>
      </c>
      <c r="I120" s="1">
        <v>41.889133999999999</v>
      </c>
      <c r="J120" s="1">
        <v>-87.638531</v>
      </c>
      <c r="K120" s="1">
        <v>41.834620000000001</v>
      </c>
      <c r="L120" s="1">
        <v>-87.625345999999993</v>
      </c>
      <c r="M120" s="1" t="s">
        <v>17</v>
      </c>
      <c r="N120" s="5">
        <f t="shared" si="3"/>
        <v>6.8981481454102322E-3</v>
      </c>
      <c r="O120" s="1">
        <f t="shared" si="4"/>
        <v>7</v>
      </c>
      <c r="P120" s="1" t="str">
        <f t="shared" si="5"/>
        <v>Sat</v>
      </c>
    </row>
    <row r="121" spans="1:16" x14ac:dyDescent="0.25">
      <c r="A121" s="1" t="s">
        <v>159</v>
      </c>
      <c r="B121" s="1" t="s">
        <v>14</v>
      </c>
      <c r="C121" s="2">
        <v>45025.365717592591</v>
      </c>
      <c r="D121" s="2">
        <v>45025.379270833335</v>
      </c>
      <c r="E121" s="1" t="s">
        <v>66</v>
      </c>
      <c r="F121" s="1">
        <v>13042</v>
      </c>
      <c r="G121" s="1" t="s">
        <v>57</v>
      </c>
      <c r="H121" s="1" t="s">
        <v>58</v>
      </c>
      <c r="I121" s="1">
        <v>41.900739999999999</v>
      </c>
      <c r="J121" s="1">
        <v>-87.623711999999998</v>
      </c>
      <c r="K121" s="1">
        <v>41.911721</v>
      </c>
      <c r="L121" s="1">
        <v>-87.634742000000003</v>
      </c>
      <c r="M121" s="1" t="s">
        <v>17</v>
      </c>
      <c r="N121" s="5">
        <f t="shared" si="3"/>
        <v>1.3553240743931383E-2</v>
      </c>
      <c r="O121" s="1">
        <f t="shared" si="4"/>
        <v>1</v>
      </c>
      <c r="P121" s="1" t="str">
        <f t="shared" si="5"/>
        <v>Sun</v>
      </c>
    </row>
    <row r="122" spans="1:16" x14ac:dyDescent="0.25">
      <c r="A122" s="1" t="s">
        <v>160</v>
      </c>
      <c r="B122" s="1" t="s">
        <v>26</v>
      </c>
      <c r="C122" s="2">
        <v>45025.436203703706</v>
      </c>
      <c r="D122" s="2">
        <v>45025.452002314814</v>
      </c>
      <c r="E122" s="1" t="s">
        <v>66</v>
      </c>
      <c r="F122" s="1">
        <v>13042</v>
      </c>
      <c r="G122" s="1" t="s">
        <v>66</v>
      </c>
      <c r="H122" s="1">
        <v>13042</v>
      </c>
      <c r="I122" s="1">
        <v>41.901152000000003</v>
      </c>
      <c r="J122" s="1">
        <v>-87.623659000000004</v>
      </c>
      <c r="K122" s="1">
        <v>41.901093000000003</v>
      </c>
      <c r="L122" s="1">
        <v>-87.624048000000002</v>
      </c>
      <c r="M122" s="1" t="s">
        <v>17</v>
      </c>
      <c r="N122" s="5">
        <f t="shared" si="3"/>
        <v>1.579861110803904E-2</v>
      </c>
      <c r="O122" s="1">
        <f t="shared" si="4"/>
        <v>1</v>
      </c>
      <c r="P122" s="1" t="str">
        <f t="shared" si="5"/>
        <v>Sun</v>
      </c>
    </row>
    <row r="123" spans="1:16" x14ac:dyDescent="0.25">
      <c r="A123" s="3" t="s">
        <v>161</v>
      </c>
      <c r="B123" s="1" t="s">
        <v>14</v>
      </c>
      <c r="C123" s="2">
        <v>45026.386979166666</v>
      </c>
      <c r="D123" s="2">
        <v>45026.397199074076</v>
      </c>
      <c r="E123" s="1" t="s">
        <v>47</v>
      </c>
      <c r="F123" s="1" t="s">
        <v>48</v>
      </c>
      <c r="G123" s="1" t="s">
        <v>47</v>
      </c>
      <c r="H123" s="1" t="s">
        <v>48</v>
      </c>
      <c r="I123" s="1">
        <v>41.882638999999998</v>
      </c>
      <c r="J123" s="1">
        <v>-87.641446999999999</v>
      </c>
      <c r="K123" s="1">
        <v>41.882069999999999</v>
      </c>
      <c r="L123" s="1">
        <v>-87.640749999999997</v>
      </c>
      <c r="M123" s="1" t="s">
        <v>31</v>
      </c>
      <c r="N123" s="5">
        <f t="shared" si="3"/>
        <v>1.021990740991896E-2</v>
      </c>
      <c r="O123" s="1">
        <f t="shared" si="4"/>
        <v>2</v>
      </c>
      <c r="P123" s="1" t="str">
        <f t="shared" si="5"/>
        <v>Mon</v>
      </c>
    </row>
    <row r="124" spans="1:16" x14ac:dyDescent="0.25">
      <c r="A124" s="1" t="s">
        <v>162</v>
      </c>
      <c r="B124" s="1" t="s">
        <v>26</v>
      </c>
      <c r="C124" s="2">
        <v>45027.02039351852</v>
      </c>
      <c r="D124" s="2">
        <v>45027.02611111111</v>
      </c>
      <c r="E124" s="1" t="s">
        <v>27</v>
      </c>
      <c r="F124" s="1" t="s">
        <v>28</v>
      </c>
      <c r="G124" s="1" t="s">
        <v>41</v>
      </c>
      <c r="H124" s="1" t="s">
        <v>42</v>
      </c>
      <c r="I124" s="1">
        <v>41.889432999999997</v>
      </c>
      <c r="J124" s="1">
        <v>-87.638465999999994</v>
      </c>
      <c r="K124" s="1">
        <v>41.902549999999998</v>
      </c>
      <c r="L124" s="1">
        <v>-87.631761999999995</v>
      </c>
      <c r="M124" s="1" t="s">
        <v>31</v>
      </c>
      <c r="N124" s="5">
        <f t="shared" si="3"/>
        <v>5.7175925903720781E-3</v>
      </c>
      <c r="O124" s="1">
        <f t="shared" si="4"/>
        <v>3</v>
      </c>
      <c r="P124" s="1" t="str">
        <f t="shared" si="5"/>
        <v>Tue</v>
      </c>
    </row>
    <row r="125" spans="1:16" x14ac:dyDescent="0.25">
      <c r="A125" s="1" t="s">
        <v>163</v>
      </c>
      <c r="B125" s="1" t="s">
        <v>37</v>
      </c>
      <c r="C125" s="2">
        <v>45027.05259259259</v>
      </c>
      <c r="D125" s="2">
        <v>45027.058310185188</v>
      </c>
      <c r="E125" s="1" t="s">
        <v>57</v>
      </c>
      <c r="F125" s="1" t="s">
        <v>58</v>
      </c>
      <c r="G125" s="1" t="s">
        <v>57</v>
      </c>
      <c r="H125" s="1" t="s">
        <v>58</v>
      </c>
      <c r="I125" s="1">
        <v>41.911743000000001</v>
      </c>
      <c r="J125" s="1">
        <v>-87.634765999999999</v>
      </c>
      <c r="K125" s="1">
        <v>41.911873999999997</v>
      </c>
      <c r="L125" s="1">
        <v>-87.635140000000007</v>
      </c>
      <c r="M125" s="1" t="s">
        <v>17</v>
      </c>
      <c r="N125" s="5">
        <f t="shared" si="3"/>
        <v>5.7175925976480357E-3</v>
      </c>
      <c r="O125" s="1">
        <f t="shared" si="4"/>
        <v>3</v>
      </c>
      <c r="P125" s="1" t="str">
        <f t="shared" si="5"/>
        <v>Tue</v>
      </c>
    </row>
    <row r="126" spans="1:16" x14ac:dyDescent="0.25">
      <c r="A126" s="1" t="s">
        <v>164</v>
      </c>
      <c r="B126" s="1" t="s">
        <v>14</v>
      </c>
      <c r="C126" s="2">
        <v>45027.502557870372</v>
      </c>
      <c r="D126" s="2">
        <v>45027.518391203703</v>
      </c>
      <c r="E126" s="1" t="s">
        <v>16</v>
      </c>
      <c r="F126" s="1">
        <v>13045</v>
      </c>
      <c r="G126" s="1" t="s">
        <v>47</v>
      </c>
      <c r="H126" s="1" t="s">
        <v>48</v>
      </c>
      <c r="I126" s="1">
        <v>41.893872999999999</v>
      </c>
      <c r="J126" s="1">
        <v>-87.62894</v>
      </c>
      <c r="K126" s="1">
        <v>41.88261</v>
      </c>
      <c r="L126" s="1">
        <v>-87.64076</v>
      </c>
      <c r="M126" s="1" t="s">
        <v>31</v>
      </c>
      <c r="N126" s="5">
        <f t="shared" si="3"/>
        <v>1.583333333110204E-2</v>
      </c>
      <c r="O126" s="1">
        <f t="shared" si="4"/>
        <v>3</v>
      </c>
      <c r="P126" s="1" t="str">
        <f t="shared" si="5"/>
        <v>Tue</v>
      </c>
    </row>
    <row r="127" spans="1:16" x14ac:dyDescent="0.25">
      <c r="A127" s="1" t="s">
        <v>165</v>
      </c>
      <c r="B127" s="1" t="s">
        <v>14</v>
      </c>
      <c r="C127" s="2">
        <v>45027.769756944443</v>
      </c>
      <c r="D127" s="2">
        <v>45027.779942129629</v>
      </c>
      <c r="E127" s="1" t="s">
        <v>33</v>
      </c>
      <c r="F127" s="1" t="s">
        <v>34</v>
      </c>
      <c r="G127" s="1" t="s">
        <v>33</v>
      </c>
      <c r="H127" s="1" t="s">
        <v>34</v>
      </c>
      <c r="I127" s="1">
        <v>41.886892000000003</v>
      </c>
      <c r="J127" s="1">
        <v>-87.612404999999995</v>
      </c>
      <c r="K127" s="1">
        <v>41.886718999999999</v>
      </c>
      <c r="L127" s="1">
        <v>-87.613221999999993</v>
      </c>
      <c r="M127" s="1" t="s">
        <v>17</v>
      </c>
      <c r="N127" s="5">
        <f t="shared" si="3"/>
        <v>1.0185185186855961E-2</v>
      </c>
      <c r="O127" s="1">
        <f t="shared" si="4"/>
        <v>3</v>
      </c>
      <c r="P127" s="1" t="str">
        <f t="shared" si="5"/>
        <v>Tue</v>
      </c>
    </row>
    <row r="128" spans="1:16" x14ac:dyDescent="0.25">
      <c r="A128" s="1" t="s">
        <v>166</v>
      </c>
      <c r="B128" s="1" t="s">
        <v>14</v>
      </c>
      <c r="C128" s="2">
        <v>45027.866550925923</v>
      </c>
      <c r="D128" s="2">
        <v>45027.874837962961</v>
      </c>
      <c r="E128" s="1" t="s">
        <v>27</v>
      </c>
      <c r="F128" s="1" t="s">
        <v>28</v>
      </c>
      <c r="G128" s="1" t="s">
        <v>41</v>
      </c>
      <c r="H128" s="1" t="s">
        <v>42</v>
      </c>
      <c r="I128" s="1">
        <v>41.889076000000003</v>
      </c>
      <c r="J128" s="1">
        <v>-87.638763999999995</v>
      </c>
      <c r="K128" s="1">
        <v>41.902676</v>
      </c>
      <c r="L128" s="1">
        <v>-87.630825000000002</v>
      </c>
      <c r="M128" s="1" t="s">
        <v>31</v>
      </c>
      <c r="N128" s="5">
        <f t="shared" si="3"/>
        <v>8.2870370388263837E-3</v>
      </c>
      <c r="O128" s="1">
        <f t="shared" si="4"/>
        <v>3</v>
      </c>
      <c r="P128" s="1" t="str">
        <f t="shared" si="5"/>
        <v>Tue</v>
      </c>
    </row>
    <row r="129" spans="1:16" x14ac:dyDescent="0.25">
      <c r="A129" s="1" t="s">
        <v>167</v>
      </c>
      <c r="B129" s="1" t="s">
        <v>14</v>
      </c>
      <c r="C129" s="2">
        <v>45028.152557870373</v>
      </c>
      <c r="D129" s="2">
        <v>45028.168761574074</v>
      </c>
      <c r="E129" s="1" t="s">
        <v>30</v>
      </c>
      <c r="F129" s="1">
        <v>13137</v>
      </c>
      <c r="G129" s="1" t="s">
        <v>30</v>
      </c>
      <c r="H129" s="1">
        <v>13137</v>
      </c>
      <c r="I129" s="1">
        <v>41.937930000000001</v>
      </c>
      <c r="J129" s="1">
        <v>-87.643868999999995</v>
      </c>
      <c r="K129" s="1">
        <v>41.937176999999998</v>
      </c>
      <c r="L129" s="1">
        <v>-87.644169000000005</v>
      </c>
      <c r="M129" s="1" t="s">
        <v>17</v>
      </c>
      <c r="N129" s="5">
        <f t="shared" si="3"/>
        <v>1.6203703700739425E-2</v>
      </c>
      <c r="O129" s="1">
        <f t="shared" si="4"/>
        <v>4</v>
      </c>
      <c r="P129" s="1" t="str">
        <f t="shared" si="5"/>
        <v>Wed</v>
      </c>
    </row>
    <row r="130" spans="1:16" x14ac:dyDescent="0.25">
      <c r="A130" s="1" t="s">
        <v>168</v>
      </c>
      <c r="B130" s="1" t="s">
        <v>14</v>
      </c>
      <c r="C130" s="2">
        <v>45028.344571759262</v>
      </c>
      <c r="D130" s="2">
        <v>45028.363587962966</v>
      </c>
      <c r="E130" s="1" t="s">
        <v>47</v>
      </c>
      <c r="F130" s="1" t="s">
        <v>48</v>
      </c>
      <c r="G130" s="1" t="s">
        <v>15</v>
      </c>
      <c r="H130" s="1">
        <v>13008</v>
      </c>
      <c r="I130" s="1">
        <v>41.881784000000003</v>
      </c>
      <c r="J130" s="1">
        <v>-87.641167999999993</v>
      </c>
      <c r="K130" s="1">
        <v>41.881293999999997</v>
      </c>
      <c r="L130" s="1">
        <v>-87.624128999999996</v>
      </c>
      <c r="M130" s="1" t="s">
        <v>31</v>
      </c>
      <c r="N130" s="5">
        <f t="shared" si="3"/>
        <v>1.9016203703358769E-2</v>
      </c>
      <c r="O130" s="1">
        <f t="shared" si="4"/>
        <v>4</v>
      </c>
      <c r="P130" s="1" t="str">
        <f t="shared" si="5"/>
        <v>Wed</v>
      </c>
    </row>
    <row r="131" spans="1:16" x14ac:dyDescent="0.25">
      <c r="A131" s="1" t="s">
        <v>169</v>
      </c>
      <c r="B131" s="1" t="s">
        <v>37</v>
      </c>
      <c r="C131" s="2">
        <v>45029.316087962965</v>
      </c>
      <c r="D131" s="2">
        <v>45029.330937500003</v>
      </c>
      <c r="E131" s="1" t="s">
        <v>43</v>
      </c>
      <c r="F131" s="1" t="s">
        <v>44</v>
      </c>
      <c r="G131" s="1" t="s">
        <v>43</v>
      </c>
      <c r="H131" s="1" t="s">
        <v>44</v>
      </c>
      <c r="I131" s="1">
        <v>41.903292999999998</v>
      </c>
      <c r="J131" s="1">
        <v>-87.634805999999998</v>
      </c>
      <c r="K131" s="1">
        <v>41.903204000000002</v>
      </c>
      <c r="L131" s="1">
        <v>-87.634613999999999</v>
      </c>
      <c r="M131" s="1" t="s">
        <v>31</v>
      </c>
      <c r="N131" s="5">
        <f t="shared" ref="N131:N194" si="6">D131-C131</f>
        <v>1.484953703766223E-2</v>
      </c>
      <c r="O131" s="1">
        <f t="shared" ref="O131:O194" si="7">WEEKDAY(C131,1)</f>
        <v>5</v>
      </c>
      <c r="P131" s="1" t="str">
        <f t="shared" ref="P131:P194" si="8">CHOOSE(O131,"Sun","Mon","Tue","Wed","Thu","Fri","Sat")</f>
        <v>Thu</v>
      </c>
    </row>
    <row r="132" spans="1:16" x14ac:dyDescent="0.25">
      <c r="A132" s="1" t="s">
        <v>170</v>
      </c>
      <c r="B132" s="1" t="s">
        <v>37</v>
      </c>
      <c r="C132" s="2">
        <v>45029.376921296294</v>
      </c>
      <c r="D132" s="2">
        <v>45029.380115740743</v>
      </c>
      <c r="E132" s="1" t="s">
        <v>33</v>
      </c>
      <c r="F132" s="1" t="s">
        <v>34</v>
      </c>
      <c r="G132" s="1" t="s">
        <v>30</v>
      </c>
      <c r="H132" s="1">
        <v>13137</v>
      </c>
      <c r="I132" s="1">
        <v>41.886665999999998</v>
      </c>
      <c r="J132" s="1">
        <v>-87.612945999999994</v>
      </c>
      <c r="K132" s="1">
        <v>41.937187999999999</v>
      </c>
      <c r="L132" s="1">
        <v>-87.643969999999996</v>
      </c>
      <c r="M132" s="1" t="s">
        <v>17</v>
      </c>
      <c r="N132" s="5">
        <f t="shared" si="6"/>
        <v>3.1944444490363821E-3</v>
      </c>
      <c r="O132" s="1">
        <f t="shared" si="7"/>
        <v>5</v>
      </c>
      <c r="P132" s="1" t="str">
        <f t="shared" si="8"/>
        <v>Thu</v>
      </c>
    </row>
    <row r="133" spans="1:16" x14ac:dyDescent="0.25">
      <c r="A133" s="1" t="s">
        <v>171</v>
      </c>
      <c r="B133" s="1" t="s">
        <v>26</v>
      </c>
      <c r="C133" s="2">
        <v>45030.053240740737</v>
      </c>
      <c r="D133" s="2">
        <v>45030.059305555558</v>
      </c>
      <c r="E133" s="1" t="s">
        <v>23</v>
      </c>
      <c r="F133" s="1">
        <v>13011</v>
      </c>
      <c r="G133" s="1" t="s">
        <v>16</v>
      </c>
      <c r="H133" s="1">
        <v>13045</v>
      </c>
      <c r="I133" s="1">
        <v>41.878911000000002</v>
      </c>
      <c r="J133" s="1">
        <v>-87.639651999999998</v>
      </c>
      <c r="K133" s="1">
        <v>41.894060000000003</v>
      </c>
      <c r="L133" s="1">
        <v>-87.629542999999998</v>
      </c>
      <c r="M133" s="1" t="s">
        <v>31</v>
      </c>
      <c r="N133" s="5">
        <f t="shared" si="6"/>
        <v>6.0648148210020736E-3</v>
      </c>
      <c r="O133" s="1">
        <f t="shared" si="7"/>
        <v>6</v>
      </c>
      <c r="P133" s="1" t="str">
        <f t="shared" si="8"/>
        <v>Fri</v>
      </c>
    </row>
    <row r="134" spans="1:16" x14ac:dyDescent="0.25">
      <c r="A134" s="1" t="s">
        <v>172</v>
      </c>
      <c r="B134" s="1" t="s">
        <v>37</v>
      </c>
      <c r="C134" s="2">
        <v>45030.61482638889</v>
      </c>
      <c r="D134" s="2">
        <v>45030.6247337963</v>
      </c>
      <c r="E134" s="1" t="s">
        <v>47</v>
      </c>
      <c r="F134" s="1" t="s">
        <v>48</v>
      </c>
      <c r="G134" s="1" t="s">
        <v>33</v>
      </c>
      <c r="H134" s="1" t="s">
        <v>34</v>
      </c>
      <c r="I134" s="1">
        <v>41.881760999999997</v>
      </c>
      <c r="J134" s="1">
        <v>-87.640787000000003</v>
      </c>
      <c r="K134" s="1">
        <v>41.887085999999996</v>
      </c>
      <c r="L134" s="1">
        <v>-87.612612999999996</v>
      </c>
      <c r="M134" s="1" t="s">
        <v>17</v>
      </c>
      <c r="N134" s="5">
        <f t="shared" si="6"/>
        <v>9.9074074096279219E-3</v>
      </c>
      <c r="O134" s="1">
        <f t="shared" si="7"/>
        <v>6</v>
      </c>
      <c r="P134" s="1" t="str">
        <f t="shared" si="8"/>
        <v>Fri</v>
      </c>
    </row>
    <row r="135" spans="1:16" x14ac:dyDescent="0.25">
      <c r="A135" s="1" t="s">
        <v>173</v>
      </c>
      <c r="B135" s="1" t="s">
        <v>37</v>
      </c>
      <c r="C135" s="2">
        <v>45030.998113425929</v>
      </c>
      <c r="D135" s="2">
        <v>45031.018090277779</v>
      </c>
      <c r="E135" s="1" t="s">
        <v>30</v>
      </c>
      <c r="F135" s="1">
        <v>13137</v>
      </c>
      <c r="G135" s="1" t="s">
        <v>23</v>
      </c>
      <c r="H135" s="1">
        <v>13011</v>
      </c>
      <c r="I135" s="1">
        <v>41.937184000000002</v>
      </c>
      <c r="J135" s="1">
        <v>-87.643679000000006</v>
      </c>
      <c r="K135" s="1">
        <v>41.879545</v>
      </c>
      <c r="L135" s="1">
        <v>-87.640381000000005</v>
      </c>
      <c r="M135" s="1" t="s">
        <v>31</v>
      </c>
      <c r="N135" s="5">
        <f t="shared" si="6"/>
        <v>1.9976851850515231E-2</v>
      </c>
      <c r="O135" s="1">
        <f t="shared" si="7"/>
        <v>6</v>
      </c>
      <c r="P135" s="1" t="str">
        <f t="shared" si="8"/>
        <v>Fri</v>
      </c>
    </row>
    <row r="136" spans="1:16" x14ac:dyDescent="0.25">
      <c r="A136" s="1" t="s">
        <v>174</v>
      </c>
      <c r="B136" s="1" t="s">
        <v>37</v>
      </c>
      <c r="C136" s="2">
        <v>45032.158784722225</v>
      </c>
      <c r="D136" s="2">
        <v>45032.166898148149</v>
      </c>
      <c r="E136" s="1" t="s">
        <v>43</v>
      </c>
      <c r="F136" s="1" t="s">
        <v>44</v>
      </c>
      <c r="G136" s="1" t="s">
        <v>43</v>
      </c>
      <c r="H136" s="1" t="s">
        <v>44</v>
      </c>
      <c r="I136" s="1">
        <v>41.903275999999998</v>
      </c>
      <c r="J136" s="1">
        <v>-87.634310999999997</v>
      </c>
      <c r="K136" s="1">
        <v>41.903002999999998</v>
      </c>
      <c r="L136" s="1">
        <v>-87.634001999999995</v>
      </c>
      <c r="M136" s="1" t="s">
        <v>17</v>
      </c>
      <c r="N136" s="5">
        <f t="shared" si="6"/>
        <v>8.1134259235113859E-3</v>
      </c>
      <c r="O136" s="1">
        <f t="shared" si="7"/>
        <v>1</v>
      </c>
      <c r="P136" s="1" t="str">
        <f t="shared" si="8"/>
        <v>Sun</v>
      </c>
    </row>
    <row r="137" spans="1:16" x14ac:dyDescent="0.25">
      <c r="A137" s="1" t="s">
        <v>175</v>
      </c>
      <c r="B137" s="1" t="s">
        <v>37</v>
      </c>
      <c r="C137" s="2">
        <v>45033.145300925928</v>
      </c>
      <c r="D137" s="2">
        <v>45033.153298611112</v>
      </c>
      <c r="E137" s="1" t="s">
        <v>43</v>
      </c>
      <c r="F137" s="1" t="s">
        <v>44</v>
      </c>
      <c r="G137" s="1" t="s">
        <v>15</v>
      </c>
      <c r="H137" s="1">
        <v>13008</v>
      </c>
      <c r="I137" s="1">
        <v>41.902937000000001</v>
      </c>
      <c r="J137" s="1">
        <v>-87.633939999999996</v>
      </c>
      <c r="K137" s="1">
        <v>41.881090999999998</v>
      </c>
      <c r="L137" s="1">
        <v>-87.623756</v>
      </c>
      <c r="M137" s="1" t="s">
        <v>17</v>
      </c>
      <c r="N137" s="5">
        <f t="shared" si="6"/>
        <v>7.9976851848186925E-3</v>
      </c>
      <c r="O137" s="1">
        <f t="shared" si="7"/>
        <v>2</v>
      </c>
      <c r="P137" s="1" t="str">
        <f t="shared" si="8"/>
        <v>Mon</v>
      </c>
    </row>
    <row r="138" spans="1:16" x14ac:dyDescent="0.25">
      <c r="A138" s="1" t="s">
        <v>176</v>
      </c>
      <c r="B138" s="1" t="s">
        <v>37</v>
      </c>
      <c r="C138" s="2">
        <v>45033.232106481482</v>
      </c>
      <c r="D138" s="2">
        <v>45033.241574074076</v>
      </c>
      <c r="E138" s="1" t="s">
        <v>47</v>
      </c>
      <c r="F138" s="1" t="s">
        <v>48</v>
      </c>
      <c r="G138" s="1" t="s">
        <v>43</v>
      </c>
      <c r="H138" s="1" t="s">
        <v>44</v>
      </c>
      <c r="I138" s="1">
        <v>41.882682000000003</v>
      </c>
      <c r="J138" s="1">
        <v>-87.641549999999995</v>
      </c>
      <c r="K138" s="1">
        <v>41.903244999999998</v>
      </c>
      <c r="L138" s="1">
        <v>-87.634353000000004</v>
      </c>
      <c r="M138" s="1" t="s">
        <v>17</v>
      </c>
      <c r="N138" s="5">
        <f t="shared" si="6"/>
        <v>9.4675925938645378E-3</v>
      </c>
      <c r="O138" s="1">
        <f t="shared" si="7"/>
        <v>2</v>
      </c>
      <c r="P138" s="1" t="str">
        <f t="shared" si="8"/>
        <v>Mon</v>
      </c>
    </row>
    <row r="139" spans="1:16" x14ac:dyDescent="0.25">
      <c r="A139" s="3" t="s">
        <v>177</v>
      </c>
      <c r="B139" s="1" t="s">
        <v>37</v>
      </c>
      <c r="C139" s="2">
        <v>45034.463703703703</v>
      </c>
      <c r="D139" s="2">
        <v>45034.466898148145</v>
      </c>
      <c r="E139" s="1" t="s">
        <v>21</v>
      </c>
      <c r="F139" s="1">
        <v>21213</v>
      </c>
      <c r="G139" s="1" t="s">
        <v>57</v>
      </c>
      <c r="H139" s="1" t="s">
        <v>58</v>
      </c>
      <c r="I139" s="1">
        <v>41.834637999999998</v>
      </c>
      <c r="J139" s="1">
        <v>-87.625741000000005</v>
      </c>
      <c r="K139" s="1">
        <v>41.912436999999997</v>
      </c>
      <c r="L139" s="1">
        <v>-87.634618000000003</v>
      </c>
      <c r="M139" s="1" t="s">
        <v>17</v>
      </c>
      <c r="N139" s="5">
        <f t="shared" si="6"/>
        <v>3.1944444417604245E-3</v>
      </c>
      <c r="O139" s="1">
        <f t="shared" si="7"/>
        <v>3</v>
      </c>
      <c r="P139" s="1" t="str">
        <f t="shared" si="8"/>
        <v>Tue</v>
      </c>
    </row>
    <row r="140" spans="1:16" x14ac:dyDescent="0.25">
      <c r="A140" s="1" t="s">
        <v>178</v>
      </c>
      <c r="B140" s="1" t="s">
        <v>37</v>
      </c>
      <c r="C140" s="2">
        <v>45034.953483796293</v>
      </c>
      <c r="D140" s="2">
        <v>45034.956736111111</v>
      </c>
      <c r="E140" s="1" t="s">
        <v>33</v>
      </c>
      <c r="F140" s="1" t="s">
        <v>34</v>
      </c>
      <c r="G140" s="1" t="s">
        <v>33</v>
      </c>
      <c r="H140" s="1" t="s">
        <v>34</v>
      </c>
      <c r="I140" s="1">
        <v>41.887351000000002</v>
      </c>
      <c r="J140" s="1">
        <v>-87.612784000000005</v>
      </c>
      <c r="K140" s="1">
        <v>41.887414999999997</v>
      </c>
      <c r="L140" s="1">
        <v>-87.612514000000004</v>
      </c>
      <c r="M140" s="1" t="s">
        <v>17</v>
      </c>
      <c r="N140" s="5">
        <f t="shared" si="6"/>
        <v>3.2523148183827288E-3</v>
      </c>
      <c r="O140" s="1">
        <f t="shared" si="7"/>
        <v>3</v>
      </c>
      <c r="P140" s="1" t="str">
        <f t="shared" si="8"/>
        <v>Tue</v>
      </c>
    </row>
    <row r="141" spans="1:16" x14ac:dyDescent="0.25">
      <c r="A141" s="1" t="s">
        <v>179</v>
      </c>
      <c r="B141" s="1" t="s">
        <v>14</v>
      </c>
      <c r="C141" s="2">
        <v>45036.172152777777</v>
      </c>
      <c r="D141" s="2">
        <v>45036.184710648151</v>
      </c>
      <c r="E141" s="1" t="s">
        <v>66</v>
      </c>
      <c r="F141" s="1">
        <v>13042</v>
      </c>
      <c r="G141" s="1" t="s">
        <v>35</v>
      </c>
      <c r="H141" s="1">
        <v>13022</v>
      </c>
      <c r="I141" s="1">
        <v>41.90137</v>
      </c>
      <c r="J141" s="1">
        <v>-87.624270999999993</v>
      </c>
      <c r="K141" s="1">
        <v>41.892589000000001</v>
      </c>
      <c r="L141" s="1">
        <v>-87.611594999999994</v>
      </c>
      <c r="M141" s="1" t="s">
        <v>17</v>
      </c>
      <c r="N141" s="5">
        <f t="shared" si="6"/>
        <v>1.2557870373711921E-2</v>
      </c>
      <c r="O141" s="1">
        <f t="shared" si="7"/>
        <v>5</v>
      </c>
      <c r="P141" s="1" t="str">
        <f t="shared" si="8"/>
        <v>Thu</v>
      </c>
    </row>
    <row r="142" spans="1:16" x14ac:dyDescent="0.25">
      <c r="A142" s="1" t="s">
        <v>180</v>
      </c>
      <c r="B142" s="1" t="s">
        <v>14</v>
      </c>
      <c r="C142" s="2">
        <v>45038.812916666669</v>
      </c>
      <c r="D142" s="2">
        <v>45038.818726851852</v>
      </c>
      <c r="E142" s="1" t="s">
        <v>16</v>
      </c>
      <c r="F142" s="1">
        <v>13045</v>
      </c>
      <c r="G142" s="1" t="s">
        <v>23</v>
      </c>
      <c r="H142" s="1">
        <v>13011</v>
      </c>
      <c r="I142" s="1">
        <v>41.894125000000003</v>
      </c>
      <c r="J142" s="1">
        <v>-87.629114000000001</v>
      </c>
      <c r="K142" s="1">
        <v>41.878759000000002</v>
      </c>
      <c r="L142" s="1">
        <v>-87.640236999999999</v>
      </c>
      <c r="M142" s="1" t="s">
        <v>31</v>
      </c>
      <c r="N142" s="5">
        <f t="shared" si="6"/>
        <v>5.8101851827814244E-3</v>
      </c>
      <c r="O142" s="1">
        <f t="shared" si="7"/>
        <v>7</v>
      </c>
      <c r="P142" s="1" t="str">
        <f t="shared" si="8"/>
        <v>Sat</v>
      </c>
    </row>
    <row r="143" spans="1:16" x14ac:dyDescent="0.25">
      <c r="A143" s="1" t="s">
        <v>181</v>
      </c>
      <c r="B143" s="1" t="s">
        <v>37</v>
      </c>
      <c r="C143" s="2">
        <v>45039.052870370368</v>
      </c>
      <c r="D143" s="2">
        <v>45039.062141203707</v>
      </c>
      <c r="E143" s="1" t="s">
        <v>16</v>
      </c>
      <c r="F143" s="1">
        <v>13045</v>
      </c>
      <c r="G143" s="1" t="s">
        <v>19</v>
      </c>
      <c r="H143" s="1" t="s">
        <v>20</v>
      </c>
      <c r="I143" s="1">
        <v>41.894325000000002</v>
      </c>
      <c r="J143" s="1">
        <v>-87.629807</v>
      </c>
      <c r="K143" s="1">
        <v>41.926527</v>
      </c>
      <c r="L143" s="1">
        <v>-87.630574999999993</v>
      </c>
      <c r="M143" s="1" t="s">
        <v>17</v>
      </c>
      <c r="N143" s="5">
        <f t="shared" si="6"/>
        <v>9.2708333395421505E-3</v>
      </c>
      <c r="O143" s="1">
        <f t="shared" si="7"/>
        <v>1</v>
      </c>
      <c r="P143" s="1" t="str">
        <f t="shared" si="8"/>
        <v>Sun</v>
      </c>
    </row>
    <row r="144" spans="1:16" x14ac:dyDescent="0.25">
      <c r="A144" s="1" t="s">
        <v>182</v>
      </c>
      <c r="B144" s="1" t="s">
        <v>37</v>
      </c>
      <c r="C144" s="2">
        <v>45039.084791666668</v>
      </c>
      <c r="D144" s="2">
        <v>45039.091041666667</v>
      </c>
      <c r="E144" s="1" t="s">
        <v>47</v>
      </c>
      <c r="F144" s="1" t="s">
        <v>48</v>
      </c>
      <c r="G144" s="1" t="s">
        <v>30</v>
      </c>
      <c r="H144" s="1">
        <v>13137</v>
      </c>
      <c r="I144" s="1">
        <v>41.882389000000003</v>
      </c>
      <c r="J144" s="1">
        <v>-87.640940999999998</v>
      </c>
      <c r="K144" s="1">
        <v>41.937719999999999</v>
      </c>
      <c r="L144" s="1">
        <v>-87.644290999999996</v>
      </c>
      <c r="M144" s="1" t="s">
        <v>31</v>
      </c>
      <c r="N144" s="5">
        <f t="shared" si="6"/>
        <v>6.2499999985448085E-3</v>
      </c>
      <c r="O144" s="1">
        <f t="shared" si="7"/>
        <v>1</v>
      </c>
      <c r="P144" s="1" t="str">
        <f t="shared" si="8"/>
        <v>Sun</v>
      </c>
    </row>
    <row r="145" spans="1:16" x14ac:dyDescent="0.25">
      <c r="A145" s="1" t="s">
        <v>183</v>
      </c>
      <c r="B145" s="1" t="s">
        <v>14</v>
      </c>
      <c r="C145" s="2">
        <v>45039.259432870371</v>
      </c>
      <c r="D145" s="2">
        <v>45039.263182870367</v>
      </c>
      <c r="E145" s="1" t="s">
        <v>16</v>
      </c>
      <c r="F145" s="1">
        <v>13045</v>
      </c>
      <c r="G145" s="1" t="s">
        <v>41</v>
      </c>
      <c r="H145" s="1" t="s">
        <v>42</v>
      </c>
      <c r="I145" s="1">
        <v>41.893633000000001</v>
      </c>
      <c r="J145" s="1">
        <v>-87.629688000000002</v>
      </c>
      <c r="K145" s="1">
        <v>41.903115999999997</v>
      </c>
      <c r="L145" s="1">
        <v>-87.631583000000006</v>
      </c>
      <c r="M145" s="1" t="s">
        <v>17</v>
      </c>
      <c r="N145" s="5">
        <f t="shared" si="6"/>
        <v>3.749999996216502E-3</v>
      </c>
      <c r="O145" s="1">
        <f t="shared" si="7"/>
        <v>1</v>
      </c>
      <c r="P145" s="1" t="str">
        <f t="shared" si="8"/>
        <v>Sun</v>
      </c>
    </row>
    <row r="146" spans="1:16" x14ac:dyDescent="0.25">
      <c r="A146" s="1" t="s">
        <v>184</v>
      </c>
      <c r="B146" s="1" t="s">
        <v>37</v>
      </c>
      <c r="C146" s="2">
        <v>45039.507407407407</v>
      </c>
      <c r="D146" s="2">
        <v>45039.515150462961</v>
      </c>
      <c r="E146" s="1" t="s">
        <v>66</v>
      </c>
      <c r="F146" s="1">
        <v>13042</v>
      </c>
      <c r="G146" s="1" t="s">
        <v>41</v>
      </c>
      <c r="H146" s="1" t="s">
        <v>42</v>
      </c>
      <c r="I146" s="1">
        <v>41.900767000000002</v>
      </c>
      <c r="J146" s="1">
        <v>-87.623731000000006</v>
      </c>
      <c r="K146" s="1">
        <v>41.902889999999999</v>
      </c>
      <c r="L146" s="1">
        <v>-87.631619999999998</v>
      </c>
      <c r="M146" s="1" t="s">
        <v>31</v>
      </c>
      <c r="N146" s="5">
        <f t="shared" si="6"/>
        <v>7.7430555538740009E-3</v>
      </c>
      <c r="O146" s="1">
        <f t="shared" si="7"/>
        <v>1</v>
      </c>
      <c r="P146" s="1" t="str">
        <f t="shared" si="8"/>
        <v>Sun</v>
      </c>
    </row>
    <row r="147" spans="1:16" x14ac:dyDescent="0.25">
      <c r="A147" s="1" t="s">
        <v>185</v>
      </c>
      <c r="B147" s="1" t="s">
        <v>37</v>
      </c>
      <c r="C147" s="2">
        <v>45040.376168981478</v>
      </c>
      <c r="D147" s="2">
        <v>45040.382233796299</v>
      </c>
      <c r="E147" s="1" t="s">
        <v>16</v>
      </c>
      <c r="F147" s="1">
        <v>13045</v>
      </c>
      <c r="G147" s="1" t="s">
        <v>27</v>
      </c>
      <c r="H147" s="1" t="s">
        <v>28</v>
      </c>
      <c r="I147" s="1">
        <v>41.893669000000003</v>
      </c>
      <c r="J147" s="1">
        <v>-87.629811000000004</v>
      </c>
      <c r="K147" s="1">
        <v>41.889482000000001</v>
      </c>
      <c r="L147" s="1">
        <v>-87.638929000000005</v>
      </c>
      <c r="M147" s="1" t="s">
        <v>31</v>
      </c>
      <c r="N147" s="5">
        <f t="shared" si="6"/>
        <v>6.0648148210020736E-3</v>
      </c>
      <c r="O147" s="1">
        <f t="shared" si="7"/>
        <v>2</v>
      </c>
      <c r="P147" s="1" t="str">
        <f t="shared" si="8"/>
        <v>Mon</v>
      </c>
    </row>
    <row r="148" spans="1:16" x14ac:dyDescent="0.25">
      <c r="A148" s="1" t="s">
        <v>186</v>
      </c>
      <c r="B148" s="1" t="s">
        <v>37</v>
      </c>
      <c r="C148" s="2">
        <v>45040.674293981479</v>
      </c>
      <c r="D148" s="2">
        <v>45040.68509259259</v>
      </c>
      <c r="E148" s="1" t="s">
        <v>43</v>
      </c>
      <c r="F148" s="1" t="s">
        <v>44</v>
      </c>
      <c r="G148" s="1" t="s">
        <v>66</v>
      </c>
      <c r="H148" s="1">
        <v>13042</v>
      </c>
      <c r="I148" s="1">
        <v>41.903573999999999</v>
      </c>
      <c r="J148" s="1">
        <v>-87.633960000000002</v>
      </c>
      <c r="K148" s="1">
        <v>41.900866999999998</v>
      </c>
      <c r="L148" s="1">
        <v>-87.623514999999998</v>
      </c>
      <c r="M148" s="1" t="s">
        <v>17</v>
      </c>
      <c r="N148" s="5">
        <f t="shared" si="6"/>
        <v>1.0798611110658385E-2</v>
      </c>
      <c r="O148" s="1">
        <f t="shared" si="7"/>
        <v>2</v>
      </c>
      <c r="P148" s="1" t="str">
        <f t="shared" si="8"/>
        <v>Mon</v>
      </c>
    </row>
    <row r="149" spans="1:16" x14ac:dyDescent="0.25">
      <c r="A149" s="1" t="s">
        <v>187</v>
      </c>
      <c r="B149" s="1" t="s">
        <v>14</v>
      </c>
      <c r="C149" s="2">
        <v>45041.121481481481</v>
      </c>
      <c r="D149" s="2">
        <v>45041.143217592595</v>
      </c>
      <c r="E149" s="1" t="s">
        <v>66</v>
      </c>
      <c r="F149" s="1">
        <v>13042</v>
      </c>
      <c r="G149" s="1" t="s">
        <v>16</v>
      </c>
      <c r="H149" s="1">
        <v>13045</v>
      </c>
      <c r="I149" s="1">
        <v>41.901333999999999</v>
      </c>
      <c r="J149" s="1">
        <v>-87.623446000000001</v>
      </c>
      <c r="K149" s="1">
        <v>41.893717000000002</v>
      </c>
      <c r="L149" s="1">
        <v>-87.629418999999999</v>
      </c>
      <c r="M149" s="1" t="s">
        <v>31</v>
      </c>
      <c r="N149" s="5">
        <f t="shared" si="6"/>
        <v>2.1736111113568768E-2</v>
      </c>
      <c r="O149" s="1">
        <f t="shared" si="7"/>
        <v>3</v>
      </c>
      <c r="P149" s="1" t="str">
        <f t="shared" si="8"/>
        <v>Tue</v>
      </c>
    </row>
    <row r="150" spans="1:16" x14ac:dyDescent="0.25">
      <c r="A150" s="1" t="s">
        <v>188</v>
      </c>
      <c r="B150" s="1" t="s">
        <v>14</v>
      </c>
      <c r="C150" s="2">
        <v>45041.48609953704</v>
      </c>
      <c r="D150" s="2">
        <v>45041.489131944443</v>
      </c>
      <c r="E150" s="1" t="s">
        <v>43</v>
      </c>
      <c r="F150" s="1" t="s">
        <v>44</v>
      </c>
      <c r="G150" s="1" t="s">
        <v>43</v>
      </c>
      <c r="H150" s="1" t="s">
        <v>44</v>
      </c>
      <c r="I150" s="1">
        <v>41.903289000000001</v>
      </c>
      <c r="J150" s="1">
        <v>-87.633892000000003</v>
      </c>
      <c r="K150" s="1">
        <v>41.903388</v>
      </c>
      <c r="L150" s="1">
        <v>-87.634000999999998</v>
      </c>
      <c r="M150" s="1" t="s">
        <v>17</v>
      </c>
      <c r="N150" s="5">
        <f t="shared" si="6"/>
        <v>3.0324074032250792E-3</v>
      </c>
      <c r="O150" s="1">
        <f t="shared" si="7"/>
        <v>3</v>
      </c>
      <c r="P150" s="1" t="str">
        <f t="shared" si="8"/>
        <v>Tue</v>
      </c>
    </row>
    <row r="151" spans="1:16" x14ac:dyDescent="0.25">
      <c r="A151" s="1" t="s">
        <v>189</v>
      </c>
      <c r="B151" s="1" t="s">
        <v>37</v>
      </c>
      <c r="C151" s="2">
        <v>45041.857349537036</v>
      </c>
      <c r="D151" s="2">
        <v>45041.866863425923</v>
      </c>
      <c r="E151" s="1" t="s">
        <v>21</v>
      </c>
      <c r="F151" s="1">
        <v>21213</v>
      </c>
      <c r="G151" s="1" t="s">
        <v>21</v>
      </c>
      <c r="H151" s="1">
        <v>21213</v>
      </c>
      <c r="I151" s="1">
        <v>41.835192999999997</v>
      </c>
      <c r="J151" s="1">
        <v>-87.625969999999995</v>
      </c>
      <c r="K151" s="1">
        <v>41.834460999999997</v>
      </c>
      <c r="L151" s="1">
        <v>-87.625889000000001</v>
      </c>
      <c r="M151" s="1" t="s">
        <v>17</v>
      </c>
      <c r="N151" s="5">
        <f t="shared" si="6"/>
        <v>9.5138888864312321E-3</v>
      </c>
      <c r="O151" s="1">
        <f t="shared" si="7"/>
        <v>3</v>
      </c>
      <c r="P151" s="1" t="str">
        <f t="shared" si="8"/>
        <v>Tue</v>
      </c>
    </row>
    <row r="152" spans="1:16" x14ac:dyDescent="0.25">
      <c r="A152" s="1" t="s">
        <v>190</v>
      </c>
      <c r="B152" s="1" t="s">
        <v>37</v>
      </c>
      <c r="C152" s="2">
        <v>45042.513310185182</v>
      </c>
      <c r="D152" s="2">
        <v>45042.561990740738</v>
      </c>
      <c r="E152" s="1" t="s">
        <v>24</v>
      </c>
      <c r="F152" s="1">
        <v>13263</v>
      </c>
      <c r="G152" s="1" t="s">
        <v>23</v>
      </c>
      <c r="H152" s="1">
        <v>13011</v>
      </c>
      <c r="I152" s="1">
        <v>41.885162999999999</v>
      </c>
      <c r="J152" s="1">
        <v>-87.619770000000003</v>
      </c>
      <c r="K152" s="1">
        <v>41.878875000000001</v>
      </c>
      <c r="L152" s="1">
        <v>-87.639819000000003</v>
      </c>
      <c r="M152" s="1" t="s">
        <v>31</v>
      </c>
      <c r="N152" s="5">
        <f t="shared" si="6"/>
        <v>4.8680555555620231E-2</v>
      </c>
      <c r="O152" s="1">
        <f t="shared" si="7"/>
        <v>4</v>
      </c>
      <c r="P152" s="1" t="str">
        <f t="shared" si="8"/>
        <v>Wed</v>
      </c>
    </row>
    <row r="153" spans="1:16" x14ac:dyDescent="0.25">
      <c r="A153" s="1" t="s">
        <v>191</v>
      </c>
      <c r="B153" s="1" t="s">
        <v>37</v>
      </c>
      <c r="C153" s="2">
        <v>45043.428356481483</v>
      </c>
      <c r="D153" s="2">
        <v>45043.452534722222</v>
      </c>
      <c r="E153" s="1" t="s">
        <v>21</v>
      </c>
      <c r="F153" s="1">
        <v>21213</v>
      </c>
      <c r="G153" s="1" t="s">
        <v>33</v>
      </c>
      <c r="H153" s="1" t="s">
        <v>34</v>
      </c>
      <c r="I153" s="1">
        <v>41.834978999999997</v>
      </c>
      <c r="J153" s="1">
        <v>-87.626258000000007</v>
      </c>
      <c r="K153" s="1">
        <v>41.886930999999997</v>
      </c>
      <c r="L153" s="1">
        <v>-87.612791000000001</v>
      </c>
      <c r="M153" s="1" t="s">
        <v>17</v>
      </c>
      <c r="N153" s="5">
        <f t="shared" si="6"/>
        <v>2.417824073927477E-2</v>
      </c>
      <c r="O153" s="1">
        <f t="shared" si="7"/>
        <v>5</v>
      </c>
      <c r="P153" s="1" t="str">
        <f t="shared" si="8"/>
        <v>Thu</v>
      </c>
    </row>
    <row r="154" spans="1:16" x14ac:dyDescent="0.25">
      <c r="A154" s="1" t="s">
        <v>192</v>
      </c>
      <c r="B154" s="1" t="s">
        <v>14</v>
      </c>
      <c r="C154" s="2">
        <v>45043.600960648146</v>
      </c>
      <c r="D154" s="2">
        <v>45043.608043981483</v>
      </c>
      <c r="E154" s="1" t="s">
        <v>35</v>
      </c>
      <c r="F154" s="1">
        <v>13022</v>
      </c>
      <c r="G154" s="1" t="s">
        <v>35</v>
      </c>
      <c r="H154" s="1">
        <v>13022</v>
      </c>
      <c r="I154" s="1">
        <v>41.891849999999998</v>
      </c>
      <c r="J154" s="1">
        <v>-87.612150999999997</v>
      </c>
      <c r="K154" s="1">
        <v>41.892257999999998</v>
      </c>
      <c r="L154" s="1">
        <v>-87.611942999999997</v>
      </c>
      <c r="M154" s="1" t="s">
        <v>17</v>
      </c>
      <c r="N154" s="5">
        <f t="shared" si="6"/>
        <v>7.0833333375048824E-3</v>
      </c>
      <c r="O154" s="1">
        <f t="shared" si="7"/>
        <v>5</v>
      </c>
      <c r="P154" s="1" t="str">
        <f t="shared" si="8"/>
        <v>Thu</v>
      </c>
    </row>
    <row r="155" spans="1:16" x14ac:dyDescent="0.25">
      <c r="A155" s="1" t="s">
        <v>193</v>
      </c>
      <c r="B155" s="1" t="s">
        <v>14</v>
      </c>
      <c r="C155" s="2">
        <v>45044.655034722222</v>
      </c>
      <c r="D155" s="2">
        <v>45044.662997685184</v>
      </c>
      <c r="E155" s="1" t="s">
        <v>57</v>
      </c>
      <c r="F155" s="1" t="s">
        <v>58</v>
      </c>
      <c r="G155" s="1" t="s">
        <v>15</v>
      </c>
      <c r="H155" s="1">
        <v>13008</v>
      </c>
      <c r="I155" s="1">
        <v>41.911819000000001</v>
      </c>
      <c r="J155" s="1">
        <v>-87.634406999999996</v>
      </c>
      <c r="K155" s="1">
        <v>41.881078000000002</v>
      </c>
      <c r="L155" s="1">
        <v>-87.624380000000002</v>
      </c>
      <c r="M155" s="1" t="s">
        <v>17</v>
      </c>
      <c r="N155" s="5">
        <f t="shared" si="6"/>
        <v>7.962962961755693E-3</v>
      </c>
      <c r="O155" s="1">
        <f t="shared" si="7"/>
        <v>6</v>
      </c>
      <c r="P155" s="1" t="str">
        <f t="shared" si="8"/>
        <v>Fri</v>
      </c>
    </row>
    <row r="156" spans="1:16" x14ac:dyDescent="0.25">
      <c r="A156" s="1" t="s">
        <v>194</v>
      </c>
      <c r="B156" s="1" t="s">
        <v>14</v>
      </c>
      <c r="C156" s="2">
        <v>45045.669756944444</v>
      </c>
      <c r="D156" s="2">
        <v>45045.673182870371</v>
      </c>
      <c r="E156" s="1" t="s">
        <v>35</v>
      </c>
      <c r="F156" s="1">
        <v>13022</v>
      </c>
      <c r="G156" s="1" t="s">
        <v>16</v>
      </c>
      <c r="H156" s="1">
        <v>13045</v>
      </c>
      <c r="I156" s="1">
        <v>41.892313000000001</v>
      </c>
      <c r="J156" s="1">
        <v>-87.612309999999994</v>
      </c>
      <c r="K156" s="1">
        <v>41.893835000000003</v>
      </c>
      <c r="L156" s="1">
        <v>-87.629344000000003</v>
      </c>
      <c r="M156" s="1" t="s">
        <v>17</v>
      </c>
      <c r="N156" s="5">
        <f t="shared" si="6"/>
        <v>3.425925926421769E-3</v>
      </c>
      <c r="O156" s="1">
        <f t="shared" si="7"/>
        <v>7</v>
      </c>
      <c r="P156" s="1" t="str">
        <f t="shared" si="8"/>
        <v>Sat</v>
      </c>
    </row>
    <row r="157" spans="1:16" x14ac:dyDescent="0.25">
      <c r="A157" s="1" t="s">
        <v>195</v>
      </c>
      <c r="B157" s="1" t="s">
        <v>14</v>
      </c>
      <c r="C157" s="2">
        <v>45046.915208333332</v>
      </c>
      <c r="D157" s="2">
        <v>45046.921319444446</v>
      </c>
      <c r="E157" s="1" t="s">
        <v>66</v>
      </c>
      <c r="F157" s="1">
        <v>13042</v>
      </c>
      <c r="G157" s="1" t="s">
        <v>66</v>
      </c>
      <c r="H157" s="1">
        <v>13042</v>
      </c>
      <c r="I157" s="1">
        <v>41.901426000000001</v>
      </c>
      <c r="J157" s="1">
        <v>-87.624101999999993</v>
      </c>
      <c r="K157" s="1">
        <v>41.901108000000001</v>
      </c>
      <c r="L157" s="1">
        <v>-87.624032</v>
      </c>
      <c r="M157" s="1" t="s">
        <v>17</v>
      </c>
      <c r="N157" s="5">
        <f t="shared" si="6"/>
        <v>6.1111111135687679E-3</v>
      </c>
      <c r="O157" s="1">
        <f t="shared" si="7"/>
        <v>1</v>
      </c>
      <c r="P157" s="1" t="str">
        <f t="shared" si="8"/>
        <v>Sun</v>
      </c>
    </row>
    <row r="158" spans="1:16" x14ac:dyDescent="0.25">
      <c r="A158" s="1" t="s">
        <v>196</v>
      </c>
      <c r="B158" s="1" t="s">
        <v>14</v>
      </c>
      <c r="C158" s="2">
        <v>45047.481782407405</v>
      </c>
      <c r="D158" s="2">
        <v>45047.498240740744</v>
      </c>
      <c r="E158" s="1" t="s">
        <v>27</v>
      </c>
      <c r="F158" s="1" t="s">
        <v>28</v>
      </c>
      <c r="G158" s="1" t="s">
        <v>35</v>
      </c>
      <c r="H158" s="1">
        <v>13022</v>
      </c>
      <c r="I158" s="1">
        <v>41.888953999999998</v>
      </c>
      <c r="J158" s="1">
        <v>-87.638199999999998</v>
      </c>
      <c r="K158" s="1">
        <v>41.892525999999997</v>
      </c>
      <c r="L158" s="1">
        <v>-87.612358</v>
      </c>
      <c r="M158" s="1" t="s">
        <v>31</v>
      </c>
      <c r="N158" s="5">
        <f t="shared" si="6"/>
        <v>1.6458333338960074E-2</v>
      </c>
      <c r="O158" s="1">
        <f t="shared" si="7"/>
        <v>2</v>
      </c>
      <c r="P158" s="1" t="str">
        <f t="shared" si="8"/>
        <v>Mon</v>
      </c>
    </row>
    <row r="159" spans="1:16" x14ac:dyDescent="0.25">
      <c r="A159" s="1" t="s">
        <v>197</v>
      </c>
      <c r="B159" s="1" t="s">
        <v>37</v>
      </c>
      <c r="C159" s="2">
        <v>45048.311539351853</v>
      </c>
      <c r="D159" s="2">
        <v>45048.316250000003</v>
      </c>
      <c r="E159" s="1" t="s">
        <v>47</v>
      </c>
      <c r="F159" s="1" t="s">
        <v>48</v>
      </c>
      <c r="G159" s="1" t="s">
        <v>47</v>
      </c>
      <c r="H159" s="1" t="s">
        <v>48</v>
      </c>
      <c r="I159" s="1">
        <v>41.881928000000002</v>
      </c>
      <c r="J159" s="1">
        <v>-87.640901999999997</v>
      </c>
      <c r="K159" s="1">
        <v>41.882624</v>
      </c>
      <c r="L159" s="1">
        <v>-87.640752000000006</v>
      </c>
      <c r="M159" s="1" t="s">
        <v>17</v>
      </c>
      <c r="N159" s="5">
        <f t="shared" si="6"/>
        <v>4.7106481506489217E-3</v>
      </c>
      <c r="O159" s="1">
        <f t="shared" si="7"/>
        <v>3</v>
      </c>
      <c r="P159" s="1" t="str">
        <f t="shared" si="8"/>
        <v>Tue</v>
      </c>
    </row>
    <row r="160" spans="1:16" x14ac:dyDescent="0.25">
      <c r="A160" s="1" t="s">
        <v>198</v>
      </c>
      <c r="B160" s="1" t="s">
        <v>37</v>
      </c>
      <c r="C160" s="2">
        <v>45048.497013888889</v>
      </c>
      <c r="D160" s="2">
        <v>45048.500868055555</v>
      </c>
      <c r="E160" s="1" t="s">
        <v>19</v>
      </c>
      <c r="F160" s="1" t="s">
        <v>20</v>
      </c>
      <c r="G160" s="1" t="s">
        <v>43</v>
      </c>
      <c r="H160" s="1" t="s">
        <v>44</v>
      </c>
      <c r="I160" s="1">
        <v>41.925933999999998</v>
      </c>
      <c r="J160" s="1">
        <v>-87.630386000000001</v>
      </c>
      <c r="K160" s="1">
        <v>41.903489</v>
      </c>
      <c r="L160" s="1">
        <v>-87.634556000000003</v>
      </c>
      <c r="M160" s="1" t="s">
        <v>17</v>
      </c>
      <c r="N160" s="5">
        <f t="shared" si="6"/>
        <v>3.8541666654055007E-3</v>
      </c>
      <c r="O160" s="1">
        <f t="shared" si="7"/>
        <v>3</v>
      </c>
      <c r="P160" s="1" t="str">
        <f t="shared" si="8"/>
        <v>Tue</v>
      </c>
    </row>
    <row r="161" spans="1:16" x14ac:dyDescent="0.25">
      <c r="A161" s="1" t="s">
        <v>199</v>
      </c>
      <c r="B161" s="1" t="s">
        <v>37</v>
      </c>
      <c r="C161" s="2">
        <v>45048.689421296294</v>
      </c>
      <c r="D161" s="2">
        <v>45048.694895833331</v>
      </c>
      <c r="E161" s="1" t="s">
        <v>43</v>
      </c>
      <c r="F161" s="1" t="s">
        <v>44</v>
      </c>
      <c r="G161" s="1" t="s">
        <v>41</v>
      </c>
      <c r="H161" s="1" t="s">
        <v>42</v>
      </c>
      <c r="I161" s="1">
        <v>41.903359999999999</v>
      </c>
      <c r="J161" s="1">
        <v>-87.634307000000007</v>
      </c>
      <c r="K161" s="1">
        <v>41.903129999999997</v>
      </c>
      <c r="L161" s="1">
        <v>-87.631343999999999</v>
      </c>
      <c r="M161" s="1" t="s">
        <v>17</v>
      </c>
      <c r="N161" s="5">
        <f t="shared" si="6"/>
        <v>5.4745370362070389E-3</v>
      </c>
      <c r="O161" s="1">
        <f t="shared" si="7"/>
        <v>3</v>
      </c>
      <c r="P161" s="1" t="str">
        <f t="shared" si="8"/>
        <v>Tue</v>
      </c>
    </row>
    <row r="162" spans="1:16" x14ac:dyDescent="0.25">
      <c r="A162" s="1" t="s">
        <v>200</v>
      </c>
      <c r="B162" s="1" t="s">
        <v>14</v>
      </c>
      <c r="C162" s="2">
        <v>45049.178518518522</v>
      </c>
      <c r="D162" s="2">
        <v>45049.194918981484</v>
      </c>
      <c r="E162" s="1" t="s">
        <v>66</v>
      </c>
      <c r="F162" s="1">
        <v>13042</v>
      </c>
      <c r="G162" s="1" t="s">
        <v>47</v>
      </c>
      <c r="H162" s="1" t="s">
        <v>48</v>
      </c>
      <c r="I162" s="1">
        <v>41.900830999999997</v>
      </c>
      <c r="J162" s="1">
        <v>-87.623463999999998</v>
      </c>
      <c r="K162" s="1">
        <v>41.882688999999999</v>
      </c>
      <c r="L162" s="1">
        <v>-87.64058</v>
      </c>
      <c r="M162" s="1" t="s">
        <v>31</v>
      </c>
      <c r="N162" s="5">
        <f t="shared" si="6"/>
        <v>1.640046296233777E-2</v>
      </c>
      <c r="O162" s="1">
        <f t="shared" si="7"/>
        <v>4</v>
      </c>
      <c r="P162" s="1" t="str">
        <f t="shared" si="8"/>
        <v>Wed</v>
      </c>
    </row>
    <row r="163" spans="1:16" x14ac:dyDescent="0.25">
      <c r="A163" s="1" t="s">
        <v>201</v>
      </c>
      <c r="B163" s="1" t="s">
        <v>37</v>
      </c>
      <c r="C163" s="2">
        <v>45050.240636574075</v>
      </c>
      <c r="D163" s="2">
        <v>45050.263055555559</v>
      </c>
      <c r="E163" s="1" t="s">
        <v>23</v>
      </c>
      <c r="F163" s="1">
        <v>13011</v>
      </c>
      <c r="G163" s="1" t="s">
        <v>66</v>
      </c>
      <c r="H163" s="1">
        <v>13042</v>
      </c>
      <c r="I163" s="1">
        <v>41.878906000000001</v>
      </c>
      <c r="J163" s="1">
        <v>-87.639971000000003</v>
      </c>
      <c r="K163" s="1">
        <v>41.901055999999997</v>
      </c>
      <c r="L163" s="1">
        <v>-87.624195999999998</v>
      </c>
      <c r="M163" s="1" t="s">
        <v>17</v>
      </c>
      <c r="N163" s="5">
        <f t="shared" si="6"/>
        <v>2.2418981483497191E-2</v>
      </c>
      <c r="O163" s="1">
        <f t="shared" si="7"/>
        <v>5</v>
      </c>
      <c r="P163" s="1" t="str">
        <f t="shared" si="8"/>
        <v>Thu</v>
      </c>
    </row>
    <row r="164" spans="1:16" x14ac:dyDescent="0.25">
      <c r="A164" s="1" t="s">
        <v>202</v>
      </c>
      <c r="B164" s="1" t="s">
        <v>37</v>
      </c>
      <c r="C164" s="2">
        <v>45050.312708333331</v>
      </c>
      <c r="D164" s="2">
        <v>45050.326921296299</v>
      </c>
      <c r="E164" s="1" t="s">
        <v>27</v>
      </c>
      <c r="F164" s="1" t="s">
        <v>28</v>
      </c>
      <c r="G164" s="1" t="s">
        <v>23</v>
      </c>
      <c r="H164" s="1">
        <v>13011</v>
      </c>
      <c r="I164" s="1">
        <v>41.889074999999998</v>
      </c>
      <c r="J164" s="1">
        <v>-87.638493999999994</v>
      </c>
      <c r="K164" s="1">
        <v>41.879238000000001</v>
      </c>
      <c r="L164" s="1">
        <v>-87.640021000000004</v>
      </c>
      <c r="M164" s="1" t="s">
        <v>17</v>
      </c>
      <c r="N164" s="5">
        <f t="shared" si="6"/>
        <v>1.4212962967576459E-2</v>
      </c>
      <c r="O164" s="1">
        <f t="shared" si="7"/>
        <v>5</v>
      </c>
      <c r="P164" s="1" t="str">
        <f t="shared" si="8"/>
        <v>Thu</v>
      </c>
    </row>
    <row r="165" spans="1:16" x14ac:dyDescent="0.25">
      <c r="A165" s="1" t="s">
        <v>203</v>
      </c>
      <c r="B165" s="1" t="s">
        <v>14</v>
      </c>
      <c r="C165" s="2">
        <v>45050.626134259262</v>
      </c>
      <c r="D165" s="2">
        <v>45050.651550925926</v>
      </c>
      <c r="E165" s="1" t="s">
        <v>15</v>
      </c>
      <c r="F165" s="1">
        <v>13008</v>
      </c>
      <c r="G165" s="1" t="s">
        <v>47</v>
      </c>
      <c r="H165" s="1" t="s">
        <v>48</v>
      </c>
      <c r="I165" s="1">
        <v>41.880885999999997</v>
      </c>
      <c r="J165" s="1">
        <v>-87.624058000000005</v>
      </c>
      <c r="K165" s="1">
        <v>41.882224000000001</v>
      </c>
      <c r="L165" s="1">
        <v>-87.641389000000004</v>
      </c>
      <c r="M165" s="1" t="s">
        <v>31</v>
      </c>
      <c r="N165" s="5">
        <f t="shared" si="6"/>
        <v>2.5416666663659271E-2</v>
      </c>
      <c r="O165" s="1">
        <f t="shared" si="7"/>
        <v>5</v>
      </c>
      <c r="P165" s="1" t="str">
        <f t="shared" si="8"/>
        <v>Thu</v>
      </c>
    </row>
    <row r="166" spans="1:16" x14ac:dyDescent="0.25">
      <c r="A166" s="1" t="s">
        <v>204</v>
      </c>
      <c r="B166" s="1" t="s">
        <v>14</v>
      </c>
      <c r="C166" s="2">
        <v>45050.900127314817</v>
      </c>
      <c r="D166" s="2">
        <v>45050.918124999997</v>
      </c>
      <c r="E166" s="1" t="s">
        <v>15</v>
      </c>
      <c r="F166" s="1">
        <v>13008</v>
      </c>
      <c r="G166" s="1" t="s">
        <v>27</v>
      </c>
      <c r="H166" s="1" t="s">
        <v>28</v>
      </c>
      <c r="I166" s="1">
        <v>41.880752999999999</v>
      </c>
      <c r="J166" s="1">
        <v>-87.624426</v>
      </c>
      <c r="K166" s="1">
        <v>41.888739000000001</v>
      </c>
      <c r="L166" s="1">
        <v>-87.638182999999998</v>
      </c>
      <c r="M166" s="1" t="s">
        <v>31</v>
      </c>
      <c r="N166" s="5">
        <f t="shared" si="6"/>
        <v>1.7997685179580003E-2</v>
      </c>
      <c r="O166" s="1">
        <f t="shared" si="7"/>
        <v>5</v>
      </c>
      <c r="P166" s="1" t="str">
        <f t="shared" si="8"/>
        <v>Thu</v>
      </c>
    </row>
    <row r="167" spans="1:16" x14ac:dyDescent="0.25">
      <c r="A167" s="1" t="s">
        <v>205</v>
      </c>
      <c r="B167" s="1" t="s">
        <v>37</v>
      </c>
      <c r="C167" s="2">
        <v>45051.626064814816</v>
      </c>
      <c r="D167" s="2">
        <v>45051.653310185182</v>
      </c>
      <c r="E167" s="1" t="s">
        <v>35</v>
      </c>
      <c r="F167" s="1">
        <v>13022</v>
      </c>
      <c r="G167" s="1" t="s">
        <v>35</v>
      </c>
      <c r="H167" s="1">
        <v>13022</v>
      </c>
      <c r="I167" s="1">
        <v>41.892169000000003</v>
      </c>
      <c r="J167" s="1">
        <v>-87.612010999999995</v>
      </c>
      <c r="K167" s="1">
        <v>41.891845000000004</v>
      </c>
      <c r="L167" s="1">
        <v>-87.612313999999998</v>
      </c>
      <c r="M167" s="1" t="s">
        <v>31</v>
      </c>
      <c r="N167" s="5">
        <f t="shared" si="6"/>
        <v>2.7245370365562849E-2</v>
      </c>
      <c r="O167" s="1">
        <f t="shared" si="7"/>
        <v>6</v>
      </c>
      <c r="P167" s="1" t="str">
        <f t="shared" si="8"/>
        <v>Fri</v>
      </c>
    </row>
    <row r="168" spans="1:16" x14ac:dyDescent="0.25">
      <c r="A168" s="1" t="s">
        <v>206</v>
      </c>
      <c r="B168" s="1" t="s">
        <v>14</v>
      </c>
      <c r="C168" s="2">
        <v>45051.668194444443</v>
      </c>
      <c r="D168" s="2">
        <v>45051.678726851853</v>
      </c>
      <c r="E168" s="1" t="s">
        <v>15</v>
      </c>
      <c r="F168" s="1">
        <v>13008</v>
      </c>
      <c r="G168" s="1" t="s">
        <v>35</v>
      </c>
      <c r="H168" s="1">
        <v>13022</v>
      </c>
      <c r="I168" s="1">
        <v>41.881267000000001</v>
      </c>
      <c r="J168" s="1">
        <v>-87.624284000000003</v>
      </c>
      <c r="K168" s="1">
        <v>41.892104000000003</v>
      </c>
      <c r="L168" s="1">
        <v>-87.611750000000001</v>
      </c>
      <c r="M168" s="1" t="s">
        <v>17</v>
      </c>
      <c r="N168" s="5">
        <f t="shared" si="6"/>
        <v>1.0532407410209998E-2</v>
      </c>
      <c r="O168" s="1">
        <f t="shared" si="7"/>
        <v>6</v>
      </c>
      <c r="P168" s="1" t="str">
        <f t="shared" si="8"/>
        <v>Fri</v>
      </c>
    </row>
    <row r="169" spans="1:16" x14ac:dyDescent="0.25">
      <c r="A169" s="1" t="s">
        <v>207</v>
      </c>
      <c r="B169" s="1" t="s">
        <v>14</v>
      </c>
      <c r="C169" s="2">
        <v>45053.282627314817</v>
      </c>
      <c r="D169" s="2">
        <v>45053.38071759259</v>
      </c>
      <c r="E169" s="1" t="s">
        <v>23</v>
      </c>
      <c r="F169" s="1">
        <v>13011</v>
      </c>
      <c r="G169" s="1" t="s">
        <v>23</v>
      </c>
      <c r="H169" s="1">
        <v>13011</v>
      </c>
      <c r="I169" s="1">
        <v>41.879748999999997</v>
      </c>
      <c r="J169" s="1">
        <v>-87.640393000000003</v>
      </c>
      <c r="K169" s="1">
        <v>41.879485000000003</v>
      </c>
      <c r="L169" s="1">
        <v>-87.639831999999998</v>
      </c>
      <c r="M169" s="1" t="s">
        <v>31</v>
      </c>
      <c r="N169" s="5">
        <f t="shared" si="6"/>
        <v>9.8090277773735579E-2</v>
      </c>
      <c r="O169" s="1">
        <f t="shared" si="7"/>
        <v>1</v>
      </c>
      <c r="P169" s="1" t="str">
        <f t="shared" si="8"/>
        <v>Sun</v>
      </c>
    </row>
    <row r="170" spans="1:16" x14ac:dyDescent="0.25">
      <c r="A170" s="1" t="s">
        <v>208</v>
      </c>
      <c r="B170" s="1" t="s">
        <v>14</v>
      </c>
      <c r="C170" s="2">
        <v>45053.333784722221</v>
      </c>
      <c r="D170" s="2">
        <v>45053.340856481482</v>
      </c>
      <c r="E170" s="1" t="s">
        <v>30</v>
      </c>
      <c r="F170" s="1">
        <v>13137</v>
      </c>
      <c r="G170" s="1" t="s">
        <v>41</v>
      </c>
      <c r="H170" s="1" t="s">
        <v>42</v>
      </c>
      <c r="I170" s="1">
        <v>41.937339999999999</v>
      </c>
      <c r="J170" s="1">
        <v>-87.643923000000001</v>
      </c>
      <c r="K170" s="1">
        <v>41.902769999999997</v>
      </c>
      <c r="L170" s="1">
        <v>-87.631062</v>
      </c>
      <c r="M170" s="1" t="s">
        <v>17</v>
      </c>
      <c r="N170" s="5">
        <f t="shared" si="6"/>
        <v>7.07175926072523E-3</v>
      </c>
      <c r="O170" s="1">
        <f t="shared" si="7"/>
        <v>1</v>
      </c>
      <c r="P170" s="1" t="str">
        <f t="shared" si="8"/>
        <v>Sun</v>
      </c>
    </row>
    <row r="171" spans="1:16" x14ac:dyDescent="0.25">
      <c r="A171" s="1" t="s">
        <v>209</v>
      </c>
      <c r="B171" s="1" t="s">
        <v>37</v>
      </c>
      <c r="C171" s="2">
        <v>45054.096296296295</v>
      </c>
      <c r="D171" s="2">
        <v>45054.123541666668</v>
      </c>
      <c r="E171" s="1" t="s">
        <v>43</v>
      </c>
      <c r="F171" s="1" t="s">
        <v>44</v>
      </c>
      <c r="G171" s="1" t="s">
        <v>43</v>
      </c>
      <c r="H171" s="1" t="s">
        <v>44</v>
      </c>
      <c r="I171" s="1">
        <v>41.903233</v>
      </c>
      <c r="J171" s="1">
        <v>-87.634777</v>
      </c>
      <c r="K171" s="1">
        <v>41.902997999999997</v>
      </c>
      <c r="L171" s="1">
        <v>-87.634117000000003</v>
      </c>
      <c r="M171" s="1" t="s">
        <v>31</v>
      </c>
      <c r="N171" s="5">
        <f t="shared" si="6"/>
        <v>2.7245370372838806E-2</v>
      </c>
      <c r="O171" s="1">
        <f t="shared" si="7"/>
        <v>2</v>
      </c>
      <c r="P171" s="1" t="str">
        <f t="shared" si="8"/>
        <v>Mon</v>
      </c>
    </row>
    <row r="172" spans="1:16" x14ac:dyDescent="0.25">
      <c r="A172" s="1" t="s">
        <v>210</v>
      </c>
      <c r="B172" s="1" t="s">
        <v>14</v>
      </c>
      <c r="C172" s="2">
        <v>45054.569340277776</v>
      </c>
      <c r="D172" s="2">
        <v>45054.57472222222</v>
      </c>
      <c r="E172" s="1" t="s">
        <v>24</v>
      </c>
      <c r="F172" s="1">
        <v>13263</v>
      </c>
      <c r="G172" s="1" t="s">
        <v>47</v>
      </c>
      <c r="H172" s="1" t="s">
        <v>48</v>
      </c>
      <c r="I172" s="1">
        <v>41.885204000000002</v>
      </c>
      <c r="J172" s="1">
        <v>-87.619337999999999</v>
      </c>
      <c r="K172" s="1">
        <v>41.882117000000001</v>
      </c>
      <c r="L172" s="1">
        <v>-87.640765999999999</v>
      </c>
      <c r="M172" s="1" t="s">
        <v>17</v>
      </c>
      <c r="N172" s="5">
        <f t="shared" si="6"/>
        <v>5.3819444437976927E-3</v>
      </c>
      <c r="O172" s="1">
        <f t="shared" si="7"/>
        <v>2</v>
      </c>
      <c r="P172" s="1" t="str">
        <f t="shared" si="8"/>
        <v>Mon</v>
      </c>
    </row>
    <row r="173" spans="1:16" x14ac:dyDescent="0.25">
      <c r="A173" s="1" t="s">
        <v>211</v>
      </c>
      <c r="B173" s="1" t="s">
        <v>14</v>
      </c>
      <c r="C173" s="2">
        <v>45054.589097222219</v>
      </c>
      <c r="D173" s="2">
        <v>45054.618657407409</v>
      </c>
      <c r="E173" s="1" t="s">
        <v>30</v>
      </c>
      <c r="F173" s="1">
        <v>13137</v>
      </c>
      <c r="G173" s="1" t="s">
        <v>35</v>
      </c>
      <c r="H173" s="1">
        <v>13022</v>
      </c>
      <c r="I173" s="1">
        <v>41.938051999999999</v>
      </c>
      <c r="J173" s="1">
        <v>-87.644159999999999</v>
      </c>
      <c r="K173" s="1">
        <v>41.892012999999999</v>
      </c>
      <c r="L173" s="1">
        <v>-87.611838000000006</v>
      </c>
      <c r="M173" s="1" t="s">
        <v>31</v>
      </c>
      <c r="N173" s="5">
        <f t="shared" si="6"/>
        <v>2.956018519034842E-2</v>
      </c>
      <c r="O173" s="1">
        <f t="shared" si="7"/>
        <v>2</v>
      </c>
      <c r="P173" s="1" t="str">
        <f t="shared" si="8"/>
        <v>Mon</v>
      </c>
    </row>
    <row r="174" spans="1:16" x14ac:dyDescent="0.25">
      <c r="A174" s="1" t="s">
        <v>212</v>
      </c>
      <c r="B174" s="1" t="s">
        <v>37</v>
      </c>
      <c r="C174" s="2">
        <v>45054.609444444446</v>
      </c>
      <c r="D174" s="2">
        <v>45054.612754629627</v>
      </c>
      <c r="E174" s="1" t="s">
        <v>24</v>
      </c>
      <c r="F174" s="1">
        <v>13263</v>
      </c>
      <c r="G174" s="1" t="s">
        <v>24</v>
      </c>
      <c r="H174" s="1">
        <v>13263</v>
      </c>
      <c r="I174" s="1">
        <v>41.884385000000002</v>
      </c>
      <c r="J174" s="1">
        <v>-87.619193999999993</v>
      </c>
      <c r="K174" s="1">
        <v>41.884270000000001</v>
      </c>
      <c r="L174" s="1">
        <v>-87.619602</v>
      </c>
      <c r="M174" s="1" t="s">
        <v>17</v>
      </c>
      <c r="N174" s="5">
        <f t="shared" si="6"/>
        <v>3.3101851804531179E-3</v>
      </c>
      <c r="O174" s="1">
        <f t="shared" si="7"/>
        <v>2</v>
      </c>
      <c r="P174" s="1" t="str">
        <f t="shared" si="8"/>
        <v>Mon</v>
      </c>
    </row>
    <row r="175" spans="1:16" x14ac:dyDescent="0.25">
      <c r="A175" s="1" t="s">
        <v>213</v>
      </c>
      <c r="B175" s="1" t="s">
        <v>37</v>
      </c>
      <c r="C175" s="2">
        <v>45055.883287037039</v>
      </c>
      <c r="D175" s="2">
        <v>45055.88652777778</v>
      </c>
      <c r="E175" s="1" t="s">
        <v>19</v>
      </c>
      <c r="F175" s="1" t="s">
        <v>20</v>
      </c>
      <c r="G175" s="1" t="s">
        <v>23</v>
      </c>
      <c r="H175" s="1">
        <v>13011</v>
      </c>
      <c r="I175" s="1">
        <v>41.925911999999997</v>
      </c>
      <c r="J175" s="1">
        <v>-87.630583000000001</v>
      </c>
      <c r="K175" s="1">
        <v>41.879412000000002</v>
      </c>
      <c r="L175" s="1">
        <v>-87.639447000000004</v>
      </c>
      <c r="M175" s="1" t="s">
        <v>17</v>
      </c>
      <c r="N175" s="5">
        <f t="shared" si="6"/>
        <v>3.2407407416030765E-3</v>
      </c>
      <c r="O175" s="1">
        <f t="shared" si="7"/>
        <v>3</v>
      </c>
      <c r="P175" s="1" t="str">
        <f t="shared" si="8"/>
        <v>Tue</v>
      </c>
    </row>
    <row r="176" spans="1:16" x14ac:dyDescent="0.25">
      <c r="A176" s="1" t="s">
        <v>214</v>
      </c>
      <c r="B176" s="1" t="s">
        <v>37</v>
      </c>
      <c r="C176" s="2">
        <v>45056.468043981484</v>
      </c>
      <c r="D176" s="2">
        <v>45056.480208333334</v>
      </c>
      <c r="E176" s="1" t="s">
        <v>24</v>
      </c>
      <c r="F176" s="1">
        <v>13263</v>
      </c>
      <c r="G176" s="1" t="s">
        <v>24</v>
      </c>
      <c r="H176" s="1">
        <v>13263</v>
      </c>
      <c r="I176" s="1">
        <v>41.884658000000002</v>
      </c>
      <c r="J176" s="1">
        <v>-87.619742000000002</v>
      </c>
      <c r="K176" s="1">
        <v>41.884357000000001</v>
      </c>
      <c r="L176" s="1">
        <v>-87.619921000000005</v>
      </c>
      <c r="M176" s="1" t="s">
        <v>17</v>
      </c>
      <c r="N176" s="5">
        <f t="shared" si="6"/>
        <v>1.2164351850515231E-2</v>
      </c>
      <c r="O176" s="1">
        <f t="shared" si="7"/>
        <v>4</v>
      </c>
      <c r="P176" s="1" t="str">
        <f t="shared" si="8"/>
        <v>Wed</v>
      </c>
    </row>
    <row r="177" spans="1:16" x14ac:dyDescent="0.25">
      <c r="A177" s="1" t="s">
        <v>215</v>
      </c>
      <c r="B177" s="1" t="s">
        <v>37</v>
      </c>
      <c r="C177" s="2">
        <v>45058.709363425929</v>
      </c>
      <c r="D177" s="2">
        <v>45058.714930555558</v>
      </c>
      <c r="E177" s="1" t="s">
        <v>23</v>
      </c>
      <c r="F177" s="1">
        <v>13011</v>
      </c>
      <c r="G177" s="1" t="s">
        <v>15</v>
      </c>
      <c r="H177" s="1">
        <v>13008</v>
      </c>
      <c r="I177" s="1">
        <v>41.879537999999997</v>
      </c>
      <c r="J177" s="1">
        <v>-87.640127000000007</v>
      </c>
      <c r="K177" s="1">
        <v>41.881473</v>
      </c>
      <c r="L177" s="1">
        <v>-87.624459999999999</v>
      </c>
      <c r="M177" s="1" t="s">
        <v>17</v>
      </c>
      <c r="N177" s="5">
        <f t="shared" si="6"/>
        <v>5.5671296286163852E-3</v>
      </c>
      <c r="O177" s="1">
        <f t="shared" si="7"/>
        <v>6</v>
      </c>
      <c r="P177" s="1" t="str">
        <f t="shared" si="8"/>
        <v>Fri</v>
      </c>
    </row>
    <row r="178" spans="1:16" x14ac:dyDescent="0.25">
      <c r="A178" s="1" t="s">
        <v>216</v>
      </c>
      <c r="B178" s="1" t="s">
        <v>14</v>
      </c>
      <c r="C178" s="2">
        <v>45059.094027777777</v>
      </c>
      <c r="D178" s="2">
        <v>45059.121087962965</v>
      </c>
      <c r="E178" s="1" t="s">
        <v>19</v>
      </c>
      <c r="F178" s="1" t="s">
        <v>20</v>
      </c>
      <c r="G178" s="1" t="s">
        <v>19</v>
      </c>
      <c r="H178" s="1" t="s">
        <v>20</v>
      </c>
      <c r="I178" s="1">
        <v>41.926631999999998</v>
      </c>
      <c r="J178" s="1">
        <v>-87.631169</v>
      </c>
      <c r="K178" s="1">
        <v>41.926631</v>
      </c>
      <c r="L178" s="1">
        <v>-87.630842999999999</v>
      </c>
      <c r="M178" s="1" t="s">
        <v>31</v>
      </c>
      <c r="N178" s="5">
        <f t="shared" si="6"/>
        <v>2.7060185188020114E-2</v>
      </c>
      <c r="O178" s="1">
        <f t="shared" si="7"/>
        <v>7</v>
      </c>
      <c r="P178" s="1" t="str">
        <f t="shared" si="8"/>
        <v>Sat</v>
      </c>
    </row>
    <row r="179" spans="1:16" x14ac:dyDescent="0.25">
      <c r="A179" s="1" t="s">
        <v>217</v>
      </c>
      <c r="B179" s="1" t="s">
        <v>14</v>
      </c>
      <c r="C179" s="2">
        <v>45059.559317129628</v>
      </c>
      <c r="D179" s="2">
        <v>45059.56994212963</v>
      </c>
      <c r="E179" s="1" t="s">
        <v>15</v>
      </c>
      <c r="F179" s="1">
        <v>13008</v>
      </c>
      <c r="G179" s="1" t="s">
        <v>35</v>
      </c>
      <c r="H179" s="1">
        <v>13022</v>
      </c>
      <c r="I179" s="1">
        <v>41.881062</v>
      </c>
      <c r="J179" s="1">
        <v>-87.623876999999993</v>
      </c>
      <c r="K179" s="1">
        <v>41.892546000000003</v>
      </c>
      <c r="L179" s="1">
        <v>-87.612455999999995</v>
      </c>
      <c r="M179" s="1" t="s">
        <v>31</v>
      </c>
      <c r="N179" s="5">
        <f t="shared" si="6"/>
        <v>1.0625000002619345E-2</v>
      </c>
      <c r="O179" s="1">
        <f t="shared" si="7"/>
        <v>7</v>
      </c>
      <c r="P179" s="1" t="str">
        <f t="shared" si="8"/>
        <v>Sat</v>
      </c>
    </row>
    <row r="180" spans="1:16" x14ac:dyDescent="0.25">
      <c r="A180" s="1" t="s">
        <v>218</v>
      </c>
      <c r="B180" s="1" t="s">
        <v>37</v>
      </c>
      <c r="C180" s="2">
        <v>45059.886145833334</v>
      </c>
      <c r="D180" s="2">
        <v>45059.900219907409</v>
      </c>
      <c r="E180" s="1" t="s">
        <v>16</v>
      </c>
      <c r="F180" s="1">
        <v>13045</v>
      </c>
      <c r="G180" s="1" t="s">
        <v>15</v>
      </c>
      <c r="H180" s="1">
        <v>13008</v>
      </c>
      <c r="I180" s="1">
        <v>41.893951000000001</v>
      </c>
      <c r="J180" s="1">
        <v>-87.628838000000002</v>
      </c>
      <c r="K180" s="1">
        <v>41.881025000000001</v>
      </c>
      <c r="L180" s="1">
        <v>-87.624255000000005</v>
      </c>
      <c r="M180" s="1" t="s">
        <v>31</v>
      </c>
      <c r="N180" s="5">
        <f t="shared" si="6"/>
        <v>1.4074074075324461E-2</v>
      </c>
      <c r="O180" s="1">
        <f t="shared" si="7"/>
        <v>7</v>
      </c>
      <c r="P180" s="1" t="str">
        <f t="shared" si="8"/>
        <v>Sat</v>
      </c>
    </row>
    <row r="181" spans="1:16" x14ac:dyDescent="0.25">
      <c r="A181" s="1" t="s">
        <v>219</v>
      </c>
      <c r="B181" s="1" t="s">
        <v>14</v>
      </c>
      <c r="C181" s="2">
        <v>45060.157199074078</v>
      </c>
      <c r="D181" s="2">
        <v>45060.166342592594</v>
      </c>
      <c r="E181" s="1" t="s">
        <v>33</v>
      </c>
      <c r="F181" s="1" t="s">
        <v>34</v>
      </c>
      <c r="G181" s="1" t="s">
        <v>43</v>
      </c>
      <c r="H181" s="1" t="s">
        <v>44</v>
      </c>
      <c r="I181" s="1">
        <v>41.887238000000004</v>
      </c>
      <c r="J181" s="1">
        <v>-87.612695000000002</v>
      </c>
      <c r="K181" s="1">
        <v>41.902822999999998</v>
      </c>
      <c r="L181" s="1">
        <v>-87.634739999999994</v>
      </c>
      <c r="M181" s="1" t="s">
        <v>17</v>
      </c>
      <c r="N181" s="5">
        <f t="shared" si="6"/>
        <v>9.1435185167938471E-3</v>
      </c>
      <c r="O181" s="1">
        <f t="shared" si="7"/>
        <v>1</v>
      </c>
      <c r="P181" s="1" t="str">
        <f t="shared" si="8"/>
        <v>Sun</v>
      </c>
    </row>
    <row r="182" spans="1:16" x14ac:dyDescent="0.25">
      <c r="A182" s="1" t="s">
        <v>220</v>
      </c>
      <c r="B182" s="1" t="s">
        <v>14</v>
      </c>
      <c r="C182" s="2">
        <v>45060.720706018517</v>
      </c>
      <c r="D182" s="2">
        <v>45060.72861111111</v>
      </c>
      <c r="E182" s="1" t="s">
        <v>33</v>
      </c>
      <c r="F182" s="1" t="s">
        <v>34</v>
      </c>
      <c r="G182" s="1" t="s">
        <v>30</v>
      </c>
      <c r="H182" s="1">
        <v>13137</v>
      </c>
      <c r="I182" s="1">
        <v>41.887095000000002</v>
      </c>
      <c r="J182" s="1">
        <v>-87.613230999999999</v>
      </c>
      <c r="K182" s="1">
        <v>41.9373</v>
      </c>
      <c r="L182" s="1">
        <v>-87.644347999999994</v>
      </c>
      <c r="M182" s="1" t="s">
        <v>17</v>
      </c>
      <c r="N182" s="5">
        <f t="shared" si="6"/>
        <v>7.9050925924093463E-3</v>
      </c>
      <c r="O182" s="1">
        <f t="shared" si="7"/>
        <v>1</v>
      </c>
      <c r="P182" s="1" t="str">
        <f t="shared" si="8"/>
        <v>Sun</v>
      </c>
    </row>
    <row r="183" spans="1:16" x14ac:dyDescent="0.25">
      <c r="A183" s="1" t="s">
        <v>221</v>
      </c>
      <c r="B183" s="1" t="s">
        <v>37</v>
      </c>
      <c r="C183" s="2">
        <v>45061.348240740743</v>
      </c>
      <c r="D183" s="2">
        <v>45061.417361111111</v>
      </c>
      <c r="E183" s="1" t="s">
        <v>16</v>
      </c>
      <c r="F183" s="1">
        <v>13045</v>
      </c>
      <c r="G183" s="1" t="s">
        <v>21</v>
      </c>
      <c r="H183" s="1">
        <v>21213</v>
      </c>
      <c r="I183" s="1">
        <v>41.893667000000001</v>
      </c>
      <c r="J183" s="1">
        <v>-87.629807999999997</v>
      </c>
      <c r="K183" s="1">
        <v>41.834383000000003</v>
      </c>
      <c r="L183" s="1">
        <v>-87.625536999999994</v>
      </c>
      <c r="M183" s="1" t="s">
        <v>31</v>
      </c>
      <c r="N183" s="5">
        <f t="shared" si="6"/>
        <v>6.9120370368182193E-2</v>
      </c>
      <c r="O183" s="1">
        <f t="shared" si="7"/>
        <v>2</v>
      </c>
      <c r="P183" s="1" t="str">
        <f t="shared" si="8"/>
        <v>Mon</v>
      </c>
    </row>
    <row r="184" spans="1:16" x14ac:dyDescent="0.25">
      <c r="A184" s="1" t="s">
        <v>222</v>
      </c>
      <c r="B184" s="1" t="s">
        <v>37</v>
      </c>
      <c r="C184" s="2">
        <v>45062.202615740738</v>
      </c>
      <c r="D184" s="2">
        <v>45062.225891203707</v>
      </c>
      <c r="E184" s="1" t="s">
        <v>21</v>
      </c>
      <c r="F184" s="1">
        <v>21213</v>
      </c>
      <c r="G184" s="1" t="s">
        <v>57</v>
      </c>
      <c r="H184" s="1" t="s">
        <v>58</v>
      </c>
      <c r="I184" s="1">
        <v>41.835014000000001</v>
      </c>
      <c r="J184" s="1">
        <v>-87.625855000000001</v>
      </c>
      <c r="K184" s="1">
        <v>41.912030999999999</v>
      </c>
      <c r="L184" s="1">
        <v>-87.634853000000007</v>
      </c>
      <c r="M184" s="1" t="s">
        <v>31</v>
      </c>
      <c r="N184" s="5">
        <f t="shared" si="6"/>
        <v>2.3275462968740612E-2</v>
      </c>
      <c r="O184" s="1">
        <f t="shared" si="7"/>
        <v>3</v>
      </c>
      <c r="P184" s="1" t="str">
        <f t="shared" si="8"/>
        <v>Tue</v>
      </c>
    </row>
    <row r="185" spans="1:16" x14ac:dyDescent="0.25">
      <c r="A185" s="1" t="s">
        <v>223</v>
      </c>
      <c r="B185" s="1" t="s">
        <v>14</v>
      </c>
      <c r="C185" s="2">
        <v>45063.587673611109</v>
      </c>
      <c r="D185" s="2">
        <v>45063.60052083333</v>
      </c>
      <c r="E185" s="1" t="s">
        <v>30</v>
      </c>
      <c r="F185" s="1">
        <v>13137</v>
      </c>
      <c r="G185" s="1" t="s">
        <v>47</v>
      </c>
      <c r="H185" s="1" t="s">
        <v>48</v>
      </c>
      <c r="I185" s="1">
        <v>41.937528999999998</v>
      </c>
      <c r="J185" s="1">
        <v>-87.644096000000005</v>
      </c>
      <c r="K185" s="1">
        <v>41.881988999999997</v>
      </c>
      <c r="L185" s="1">
        <v>-87.641095000000007</v>
      </c>
      <c r="M185" s="1" t="s">
        <v>17</v>
      </c>
      <c r="N185" s="5">
        <f t="shared" si="6"/>
        <v>1.2847222220443655E-2</v>
      </c>
      <c r="O185" s="1">
        <f t="shared" si="7"/>
        <v>4</v>
      </c>
      <c r="P185" s="1" t="str">
        <f t="shared" si="8"/>
        <v>Wed</v>
      </c>
    </row>
    <row r="186" spans="1:16" x14ac:dyDescent="0.25">
      <c r="A186" s="1" t="s">
        <v>224</v>
      </c>
      <c r="B186" s="1" t="s">
        <v>14</v>
      </c>
      <c r="C186" s="2">
        <v>45063.63653935185</v>
      </c>
      <c r="D186" s="2">
        <v>45063.649791666663</v>
      </c>
      <c r="E186" s="1" t="s">
        <v>57</v>
      </c>
      <c r="F186" s="1" t="s">
        <v>58</v>
      </c>
      <c r="G186" s="1" t="s">
        <v>35</v>
      </c>
      <c r="H186" s="1">
        <v>13022</v>
      </c>
      <c r="I186" s="1">
        <v>41.912578000000003</v>
      </c>
      <c r="J186" s="1">
        <v>-87.634238999999994</v>
      </c>
      <c r="K186" s="1">
        <v>41.892361000000001</v>
      </c>
      <c r="L186" s="1">
        <v>-87.612080000000006</v>
      </c>
      <c r="M186" s="1" t="s">
        <v>31</v>
      </c>
      <c r="N186" s="5">
        <f t="shared" si="6"/>
        <v>1.3252314813144039E-2</v>
      </c>
      <c r="O186" s="1">
        <f t="shared" si="7"/>
        <v>4</v>
      </c>
      <c r="P186" s="1" t="str">
        <f t="shared" si="8"/>
        <v>Wed</v>
      </c>
    </row>
    <row r="187" spans="1:16" x14ac:dyDescent="0.25">
      <c r="A187" s="1" t="s">
        <v>225</v>
      </c>
      <c r="B187" s="1" t="s">
        <v>14</v>
      </c>
      <c r="C187" s="2">
        <v>45064.157847222225</v>
      </c>
      <c r="D187" s="2">
        <v>45064.214502314811</v>
      </c>
      <c r="E187" s="1" t="s">
        <v>43</v>
      </c>
      <c r="F187" s="1" t="s">
        <v>44</v>
      </c>
      <c r="G187" s="1" t="s">
        <v>16</v>
      </c>
      <c r="H187" s="1">
        <v>13045</v>
      </c>
      <c r="I187" s="1">
        <v>41.903461</v>
      </c>
      <c r="J187" s="1">
        <v>-87.634608999999998</v>
      </c>
      <c r="K187" s="1">
        <v>41.894157</v>
      </c>
      <c r="L187" s="1">
        <v>-87.629320000000007</v>
      </c>
      <c r="M187" s="1" t="s">
        <v>31</v>
      </c>
      <c r="N187" s="5">
        <f t="shared" si="6"/>
        <v>5.6655092586879618E-2</v>
      </c>
      <c r="O187" s="1">
        <f t="shared" si="7"/>
        <v>5</v>
      </c>
      <c r="P187" s="1" t="str">
        <f t="shared" si="8"/>
        <v>Thu</v>
      </c>
    </row>
    <row r="188" spans="1:16" x14ac:dyDescent="0.25">
      <c r="A188" s="1" t="s">
        <v>226</v>
      </c>
      <c r="B188" s="1" t="s">
        <v>14</v>
      </c>
      <c r="C188" s="2">
        <v>45064.179444444446</v>
      </c>
      <c r="D188" s="2">
        <v>45064.197974537034</v>
      </c>
      <c r="E188" s="1" t="s">
        <v>43</v>
      </c>
      <c r="F188" s="1" t="s">
        <v>44</v>
      </c>
      <c r="G188" s="1" t="s">
        <v>43</v>
      </c>
      <c r="H188" s="1" t="s">
        <v>44</v>
      </c>
      <c r="I188" s="1">
        <v>41.903272999999999</v>
      </c>
      <c r="J188" s="1">
        <v>-87.634737000000001</v>
      </c>
      <c r="K188" s="1">
        <v>41.903129999999997</v>
      </c>
      <c r="L188" s="1">
        <v>-87.634450999999999</v>
      </c>
      <c r="M188" s="1" t="s">
        <v>17</v>
      </c>
      <c r="N188" s="5">
        <f t="shared" si="6"/>
        <v>1.8530092587752733E-2</v>
      </c>
      <c r="O188" s="1">
        <f t="shared" si="7"/>
        <v>5</v>
      </c>
      <c r="P188" s="1" t="str">
        <f t="shared" si="8"/>
        <v>Thu</v>
      </c>
    </row>
    <row r="189" spans="1:16" x14ac:dyDescent="0.25">
      <c r="A189" s="1" t="s">
        <v>227</v>
      </c>
      <c r="B189" s="1" t="s">
        <v>26</v>
      </c>
      <c r="C189" s="2">
        <v>45065.580833333333</v>
      </c>
      <c r="D189" s="2">
        <v>45065.604699074072</v>
      </c>
      <c r="E189" s="1" t="s">
        <v>57</v>
      </c>
      <c r="F189" s="1" t="s">
        <v>58</v>
      </c>
      <c r="G189" s="1" t="s">
        <v>33</v>
      </c>
      <c r="H189" s="1" t="s">
        <v>34</v>
      </c>
      <c r="I189" s="1">
        <v>41.912613999999998</v>
      </c>
      <c r="J189" s="1">
        <v>-87.634966000000006</v>
      </c>
      <c r="K189" s="1">
        <v>41.887269000000003</v>
      </c>
      <c r="L189" s="1">
        <v>-87.612404999999995</v>
      </c>
      <c r="M189" s="1" t="s">
        <v>17</v>
      </c>
      <c r="N189" s="5">
        <f t="shared" si="6"/>
        <v>2.3865740738983732E-2</v>
      </c>
      <c r="O189" s="1">
        <f t="shared" si="7"/>
        <v>6</v>
      </c>
      <c r="P189" s="1" t="str">
        <f t="shared" si="8"/>
        <v>Fri</v>
      </c>
    </row>
    <row r="190" spans="1:16" x14ac:dyDescent="0.25">
      <c r="A190" s="1" t="s">
        <v>228</v>
      </c>
      <c r="B190" s="1" t="s">
        <v>14</v>
      </c>
      <c r="C190" s="2">
        <v>45065.987141203703</v>
      </c>
      <c r="D190" s="2">
        <v>45065.998449074075</v>
      </c>
      <c r="E190" s="1" t="s">
        <v>66</v>
      </c>
      <c r="F190" s="1">
        <v>13042</v>
      </c>
      <c r="G190" s="1" t="s">
        <v>33</v>
      </c>
      <c r="H190" s="1" t="s">
        <v>34</v>
      </c>
      <c r="I190" s="1">
        <v>41.900526999999997</v>
      </c>
      <c r="J190" s="1">
        <v>-87.623400000000004</v>
      </c>
      <c r="K190" s="1">
        <v>41.886865</v>
      </c>
      <c r="L190" s="1">
        <v>-87.612770999999995</v>
      </c>
      <c r="M190" s="1" t="s">
        <v>17</v>
      </c>
      <c r="N190" s="5">
        <f t="shared" si="6"/>
        <v>1.1307870372547768E-2</v>
      </c>
      <c r="O190" s="1">
        <f t="shared" si="7"/>
        <v>6</v>
      </c>
      <c r="P190" s="1" t="str">
        <f t="shared" si="8"/>
        <v>Fri</v>
      </c>
    </row>
    <row r="191" spans="1:16" x14ac:dyDescent="0.25">
      <c r="A191" s="1" t="s">
        <v>229</v>
      </c>
      <c r="B191" s="1" t="s">
        <v>37</v>
      </c>
      <c r="C191" s="2">
        <v>45066.529803240737</v>
      </c>
      <c r="D191" s="2">
        <v>45066.5391087963</v>
      </c>
      <c r="E191" s="1" t="s">
        <v>41</v>
      </c>
      <c r="F191" s="1" t="s">
        <v>42</v>
      </c>
      <c r="G191" s="1" t="s">
        <v>16</v>
      </c>
      <c r="H191" s="1">
        <v>13045</v>
      </c>
      <c r="I191" s="1">
        <v>41.903301999999996</v>
      </c>
      <c r="J191" s="1">
        <v>-87.630990999999995</v>
      </c>
      <c r="K191" s="1">
        <v>41.893799999999999</v>
      </c>
      <c r="L191" s="1">
        <v>-87.628904000000006</v>
      </c>
      <c r="M191" s="1" t="s">
        <v>17</v>
      </c>
      <c r="N191" s="5">
        <f t="shared" si="6"/>
        <v>9.30555556260515E-3</v>
      </c>
      <c r="O191" s="1">
        <f t="shared" si="7"/>
        <v>7</v>
      </c>
      <c r="P191" s="1" t="str">
        <f t="shared" si="8"/>
        <v>Sat</v>
      </c>
    </row>
    <row r="192" spans="1:16" x14ac:dyDescent="0.25">
      <c r="A192" s="1" t="s">
        <v>230</v>
      </c>
      <c r="B192" s="1" t="s">
        <v>37</v>
      </c>
      <c r="C192" s="2">
        <v>45066.708402777775</v>
      </c>
      <c r="D192" s="2">
        <v>45066.712696759256</v>
      </c>
      <c r="E192" s="1" t="s">
        <v>66</v>
      </c>
      <c r="F192" s="1">
        <v>13042</v>
      </c>
      <c r="G192" s="1" t="s">
        <v>16</v>
      </c>
      <c r="H192" s="1">
        <v>13045</v>
      </c>
      <c r="I192" s="1">
        <v>41.901395999999998</v>
      </c>
      <c r="J192" s="1">
        <v>-87.623335999999995</v>
      </c>
      <c r="K192" s="1">
        <v>41.893667000000001</v>
      </c>
      <c r="L192" s="1">
        <v>-87.628943000000007</v>
      </c>
      <c r="M192" s="1" t="s">
        <v>17</v>
      </c>
      <c r="N192" s="5">
        <f t="shared" si="6"/>
        <v>4.2939814811688848E-3</v>
      </c>
      <c r="O192" s="1">
        <f t="shared" si="7"/>
        <v>7</v>
      </c>
      <c r="P192" s="1" t="str">
        <f t="shared" si="8"/>
        <v>Sat</v>
      </c>
    </row>
    <row r="193" spans="1:16" x14ac:dyDescent="0.25">
      <c r="A193" s="1" t="s">
        <v>231</v>
      </c>
      <c r="B193" s="1" t="s">
        <v>14</v>
      </c>
      <c r="C193" s="2">
        <v>45067.344629629632</v>
      </c>
      <c r="D193" s="2">
        <v>45067.349722222221</v>
      </c>
      <c r="E193" s="1" t="s">
        <v>30</v>
      </c>
      <c r="F193" s="1">
        <v>13137</v>
      </c>
      <c r="G193" s="1" t="s">
        <v>15</v>
      </c>
      <c r="H193" s="1">
        <v>13008</v>
      </c>
      <c r="I193" s="1">
        <v>41.937531999999997</v>
      </c>
      <c r="J193" s="1">
        <v>-87.644261</v>
      </c>
      <c r="K193" s="1">
        <v>41.881402999999999</v>
      </c>
      <c r="L193" s="1">
        <v>-87.624499999999998</v>
      </c>
      <c r="M193" s="1" t="s">
        <v>17</v>
      </c>
      <c r="N193" s="5">
        <f t="shared" si="6"/>
        <v>5.0925925897900015E-3</v>
      </c>
      <c r="O193" s="1">
        <f t="shared" si="7"/>
        <v>1</v>
      </c>
      <c r="P193" s="1" t="str">
        <f t="shared" si="8"/>
        <v>Sun</v>
      </c>
    </row>
    <row r="194" spans="1:16" x14ac:dyDescent="0.25">
      <c r="A194" s="1" t="s">
        <v>232</v>
      </c>
      <c r="B194" s="1" t="s">
        <v>14</v>
      </c>
      <c r="C194" s="2">
        <v>45067.859027777777</v>
      </c>
      <c r="D194" s="2">
        <v>45067.869988425926</v>
      </c>
      <c r="E194" s="1" t="s">
        <v>27</v>
      </c>
      <c r="F194" s="1" t="s">
        <v>28</v>
      </c>
      <c r="G194" s="1" t="s">
        <v>27</v>
      </c>
      <c r="H194" s="1" t="s">
        <v>28</v>
      </c>
      <c r="I194" s="1">
        <v>41.889282999999999</v>
      </c>
      <c r="J194" s="1">
        <v>-87.638889000000006</v>
      </c>
      <c r="K194" s="1">
        <v>41.889014000000003</v>
      </c>
      <c r="L194" s="1">
        <v>-87.638863000000001</v>
      </c>
      <c r="M194" s="1" t="s">
        <v>17</v>
      </c>
      <c r="N194" s="5">
        <f t="shared" si="6"/>
        <v>1.096064814919373E-2</v>
      </c>
      <c r="O194" s="1">
        <f t="shared" si="7"/>
        <v>1</v>
      </c>
      <c r="P194" s="1" t="str">
        <f t="shared" si="8"/>
        <v>Sun</v>
      </c>
    </row>
    <row r="195" spans="1:16" x14ac:dyDescent="0.25">
      <c r="A195" s="1" t="s">
        <v>233</v>
      </c>
      <c r="B195" s="1" t="s">
        <v>14</v>
      </c>
      <c r="C195" s="2">
        <v>45069.246377314812</v>
      </c>
      <c r="D195" s="2">
        <v>45069.256041666667</v>
      </c>
      <c r="E195" s="1" t="s">
        <v>35</v>
      </c>
      <c r="F195" s="1">
        <v>13022</v>
      </c>
      <c r="G195" s="1" t="s">
        <v>19</v>
      </c>
      <c r="H195" s="1" t="s">
        <v>20</v>
      </c>
      <c r="I195" s="1">
        <v>41.892631999999999</v>
      </c>
      <c r="J195" s="1">
        <v>-87.612493999999998</v>
      </c>
      <c r="K195" s="1">
        <v>41.926609999999997</v>
      </c>
      <c r="L195" s="1">
        <v>-87.630489999999995</v>
      </c>
      <c r="M195" s="1" t="s">
        <v>31</v>
      </c>
      <c r="N195" s="5">
        <f t="shared" ref="N195:N258" si="9">D195-C195</f>
        <v>9.6643518554628827E-3</v>
      </c>
      <c r="O195" s="1">
        <f t="shared" ref="O195:O258" si="10">WEEKDAY(C195,1)</f>
        <v>3</v>
      </c>
      <c r="P195" s="1" t="str">
        <f t="shared" ref="P195:P258" si="11">CHOOSE(O195,"Sun","Mon","Tue","Wed","Thu","Fri","Sat")</f>
        <v>Tue</v>
      </c>
    </row>
    <row r="196" spans="1:16" x14ac:dyDescent="0.25">
      <c r="A196" s="1" t="s">
        <v>234</v>
      </c>
      <c r="B196" s="1" t="s">
        <v>14</v>
      </c>
      <c r="C196" s="2">
        <v>45069.50677083333</v>
      </c>
      <c r="D196" s="2">
        <v>45069.517013888886</v>
      </c>
      <c r="E196" s="1" t="s">
        <v>43</v>
      </c>
      <c r="F196" s="1" t="s">
        <v>44</v>
      </c>
      <c r="G196" s="1" t="s">
        <v>43</v>
      </c>
      <c r="H196" s="1" t="s">
        <v>44</v>
      </c>
      <c r="I196" s="1">
        <v>41.902839</v>
      </c>
      <c r="J196" s="1">
        <v>-87.634276999999997</v>
      </c>
      <c r="K196" s="1">
        <v>41.903624000000001</v>
      </c>
      <c r="L196" s="1">
        <v>-87.634479999999996</v>
      </c>
      <c r="M196" s="1" t="s">
        <v>17</v>
      </c>
      <c r="N196" s="5">
        <f t="shared" si="9"/>
        <v>1.0243055556202307E-2</v>
      </c>
      <c r="O196" s="1">
        <f t="shared" si="10"/>
        <v>3</v>
      </c>
      <c r="P196" s="1" t="str">
        <f t="shared" si="11"/>
        <v>Tue</v>
      </c>
    </row>
    <row r="197" spans="1:16" x14ac:dyDescent="0.25">
      <c r="A197" s="1" t="s">
        <v>235</v>
      </c>
      <c r="B197" s="1" t="s">
        <v>14</v>
      </c>
      <c r="C197" s="2">
        <v>45069.623923611114</v>
      </c>
      <c r="D197" s="2">
        <v>45069.628206018519</v>
      </c>
      <c r="E197" s="1" t="s">
        <v>16</v>
      </c>
      <c r="F197" s="1">
        <v>13045</v>
      </c>
      <c r="G197" s="1" t="s">
        <v>47</v>
      </c>
      <c r="H197" s="1" t="s">
        <v>48</v>
      </c>
      <c r="I197" s="1">
        <v>41.894086000000001</v>
      </c>
      <c r="J197" s="1">
        <v>-87.629321000000004</v>
      </c>
      <c r="K197" s="1">
        <v>41.882730000000002</v>
      </c>
      <c r="L197" s="1">
        <v>-87.64143</v>
      </c>
      <c r="M197" s="1" t="s">
        <v>17</v>
      </c>
      <c r="N197" s="5">
        <f t="shared" si="9"/>
        <v>4.2824074043892324E-3</v>
      </c>
      <c r="O197" s="1">
        <f t="shared" si="10"/>
        <v>3</v>
      </c>
      <c r="P197" s="1" t="str">
        <f t="shared" si="11"/>
        <v>Tue</v>
      </c>
    </row>
    <row r="198" spans="1:16" x14ac:dyDescent="0.25">
      <c r="A198" s="1" t="s">
        <v>236</v>
      </c>
      <c r="B198" s="1" t="s">
        <v>14</v>
      </c>
      <c r="C198" s="2">
        <v>45070.092291666668</v>
      </c>
      <c r="D198" s="2">
        <v>45070.104259259257</v>
      </c>
      <c r="E198" s="1" t="s">
        <v>33</v>
      </c>
      <c r="F198" s="1" t="s">
        <v>34</v>
      </c>
      <c r="G198" s="1" t="s">
        <v>47</v>
      </c>
      <c r="H198" s="1" t="s">
        <v>48</v>
      </c>
      <c r="I198" s="1">
        <v>41.887408000000001</v>
      </c>
      <c r="J198" s="1">
        <v>-87.612316000000007</v>
      </c>
      <c r="K198" s="1">
        <v>41.882461999999997</v>
      </c>
      <c r="L198" s="1">
        <v>-87.641278999999997</v>
      </c>
      <c r="M198" s="1" t="s">
        <v>17</v>
      </c>
      <c r="N198" s="5">
        <f t="shared" si="9"/>
        <v>1.1967592588916887E-2</v>
      </c>
      <c r="O198" s="1">
        <f t="shared" si="10"/>
        <v>4</v>
      </c>
      <c r="P198" s="1" t="str">
        <f t="shared" si="11"/>
        <v>Wed</v>
      </c>
    </row>
    <row r="199" spans="1:16" x14ac:dyDescent="0.25">
      <c r="A199" s="1" t="s">
        <v>237</v>
      </c>
      <c r="B199" s="1" t="s">
        <v>14</v>
      </c>
      <c r="C199" s="2">
        <v>45071.758738425924</v>
      </c>
      <c r="D199" s="2">
        <v>45071.781261574077</v>
      </c>
      <c r="E199" s="1" t="s">
        <v>41</v>
      </c>
      <c r="F199" s="1" t="s">
        <v>42</v>
      </c>
      <c r="G199" s="1" t="s">
        <v>19</v>
      </c>
      <c r="H199" s="1" t="s">
        <v>20</v>
      </c>
      <c r="I199" s="1">
        <v>41.903005999999998</v>
      </c>
      <c r="J199" s="1">
        <v>-87.63091</v>
      </c>
      <c r="K199" s="1">
        <v>41.925908</v>
      </c>
      <c r="L199" s="1">
        <v>-87.630543000000003</v>
      </c>
      <c r="M199" s="1" t="s">
        <v>17</v>
      </c>
      <c r="N199" s="5">
        <f t="shared" si="9"/>
        <v>2.252314815268619E-2</v>
      </c>
      <c r="O199" s="1">
        <f t="shared" si="10"/>
        <v>5</v>
      </c>
      <c r="P199" s="1" t="str">
        <f t="shared" si="11"/>
        <v>Thu</v>
      </c>
    </row>
    <row r="200" spans="1:16" x14ac:dyDescent="0.25">
      <c r="A200" s="1" t="s">
        <v>238</v>
      </c>
      <c r="B200" s="1" t="s">
        <v>26</v>
      </c>
      <c r="C200" s="2">
        <v>45072.183703703704</v>
      </c>
      <c r="D200" s="2">
        <v>45072.196342592593</v>
      </c>
      <c r="E200" s="1" t="s">
        <v>23</v>
      </c>
      <c r="F200" s="1">
        <v>13011</v>
      </c>
      <c r="G200" s="1" t="s">
        <v>47</v>
      </c>
      <c r="H200" s="1" t="s">
        <v>48</v>
      </c>
      <c r="I200" s="1">
        <v>41.879666</v>
      </c>
      <c r="J200" s="1">
        <v>-87.639581000000007</v>
      </c>
      <c r="K200" s="1">
        <v>41.882691999999999</v>
      </c>
      <c r="L200" s="1">
        <v>-87.640839999999997</v>
      </c>
      <c r="M200" s="1" t="s">
        <v>31</v>
      </c>
      <c r="N200" s="5">
        <f t="shared" si="9"/>
        <v>1.2638888889341615E-2</v>
      </c>
      <c r="O200" s="1">
        <f t="shared" si="10"/>
        <v>6</v>
      </c>
      <c r="P200" s="1" t="str">
        <f t="shared" si="11"/>
        <v>Fri</v>
      </c>
    </row>
    <row r="201" spans="1:16" x14ac:dyDescent="0.25">
      <c r="A201" s="1" t="s">
        <v>239</v>
      </c>
      <c r="B201" s="1" t="s">
        <v>14</v>
      </c>
      <c r="C201" s="2">
        <v>45072.945185185185</v>
      </c>
      <c r="D201" s="2">
        <v>45072.974791666667</v>
      </c>
      <c r="E201" s="1" t="s">
        <v>23</v>
      </c>
      <c r="F201" s="1">
        <v>13011</v>
      </c>
      <c r="G201" s="1" t="s">
        <v>24</v>
      </c>
      <c r="H201" s="1">
        <v>13263</v>
      </c>
      <c r="I201" s="1">
        <v>41.878900999999999</v>
      </c>
      <c r="J201" s="1">
        <v>-87.639571000000004</v>
      </c>
      <c r="K201" s="1">
        <v>41.884768000000001</v>
      </c>
      <c r="L201" s="1">
        <v>-87.619175999999996</v>
      </c>
      <c r="M201" s="1" t="s">
        <v>31</v>
      </c>
      <c r="N201" s="5">
        <f t="shared" si="9"/>
        <v>2.9606481482915115E-2</v>
      </c>
      <c r="O201" s="1">
        <f t="shared" si="10"/>
        <v>6</v>
      </c>
      <c r="P201" s="1" t="str">
        <f t="shared" si="11"/>
        <v>Fri</v>
      </c>
    </row>
    <row r="202" spans="1:16" x14ac:dyDescent="0.25">
      <c r="A202" s="3" t="s">
        <v>240</v>
      </c>
      <c r="B202" s="1" t="s">
        <v>14</v>
      </c>
      <c r="C202" s="2">
        <v>45073.41474537037</v>
      </c>
      <c r="D202" s="2">
        <v>45073.428900462961</v>
      </c>
      <c r="E202" s="1" t="s">
        <v>30</v>
      </c>
      <c r="F202" s="1">
        <v>13137</v>
      </c>
      <c r="G202" s="1" t="s">
        <v>43</v>
      </c>
      <c r="H202" s="1" t="s">
        <v>44</v>
      </c>
      <c r="I202" s="1">
        <v>41.937497999999998</v>
      </c>
      <c r="J202" s="1">
        <v>-87.644169000000005</v>
      </c>
      <c r="K202" s="1">
        <v>41.903263000000003</v>
      </c>
      <c r="L202" s="1">
        <v>-87.634128000000004</v>
      </c>
      <c r="M202" s="1" t="s">
        <v>17</v>
      </c>
      <c r="N202" s="5">
        <f t="shared" si="9"/>
        <v>1.4155092590954155E-2</v>
      </c>
      <c r="O202" s="1">
        <f t="shared" si="10"/>
        <v>7</v>
      </c>
      <c r="P202" s="1" t="str">
        <f t="shared" si="11"/>
        <v>Sat</v>
      </c>
    </row>
    <row r="203" spans="1:16" x14ac:dyDescent="0.25">
      <c r="A203" s="1" t="s">
        <v>241</v>
      </c>
      <c r="B203" s="1" t="s">
        <v>14</v>
      </c>
      <c r="C203" s="2">
        <v>45073.530092592591</v>
      </c>
      <c r="D203" s="2">
        <v>45073.542048611111</v>
      </c>
      <c r="E203" s="1" t="s">
        <v>35</v>
      </c>
      <c r="F203" s="1">
        <v>13022</v>
      </c>
      <c r="G203" s="1" t="s">
        <v>66</v>
      </c>
      <c r="H203" s="1">
        <v>13042</v>
      </c>
      <c r="I203" s="1">
        <v>41.892629999999997</v>
      </c>
      <c r="J203" s="1">
        <v>-87.612386000000001</v>
      </c>
      <c r="K203" s="1">
        <v>41.901434999999999</v>
      </c>
      <c r="L203" s="1">
        <v>-87.623434000000003</v>
      </c>
      <c r="M203" s="1" t="s">
        <v>17</v>
      </c>
      <c r="N203" s="5">
        <f t="shared" si="9"/>
        <v>1.1956018519413192E-2</v>
      </c>
      <c r="O203" s="1">
        <f t="shared" si="10"/>
        <v>7</v>
      </c>
      <c r="P203" s="1" t="str">
        <f t="shared" si="11"/>
        <v>Sat</v>
      </c>
    </row>
    <row r="204" spans="1:16" x14ac:dyDescent="0.25">
      <c r="A204" s="1" t="s">
        <v>242</v>
      </c>
      <c r="B204" s="1" t="s">
        <v>14</v>
      </c>
      <c r="C204" s="2">
        <v>45073.795682870368</v>
      </c>
      <c r="D204" s="2">
        <v>45073.801828703705</v>
      </c>
      <c r="E204" s="1" t="s">
        <v>19</v>
      </c>
      <c r="F204" s="1" t="s">
        <v>20</v>
      </c>
      <c r="G204" s="1" t="s">
        <v>16</v>
      </c>
      <c r="H204" s="1">
        <v>13045</v>
      </c>
      <c r="I204" s="1">
        <v>41.926268</v>
      </c>
      <c r="J204" s="1">
        <v>-87.630812000000006</v>
      </c>
      <c r="K204" s="1">
        <v>41.894055000000002</v>
      </c>
      <c r="L204" s="1">
        <v>-87.629377000000005</v>
      </c>
      <c r="M204" s="1" t="s">
        <v>31</v>
      </c>
      <c r="N204" s="5">
        <f t="shared" si="9"/>
        <v>6.1458333366317675E-3</v>
      </c>
      <c r="O204" s="1">
        <f t="shared" si="10"/>
        <v>7</v>
      </c>
      <c r="P204" s="1" t="str">
        <f t="shared" si="11"/>
        <v>Sat</v>
      </c>
    </row>
    <row r="205" spans="1:16" x14ac:dyDescent="0.25">
      <c r="A205" s="1" t="s">
        <v>243</v>
      </c>
      <c r="B205" s="1" t="s">
        <v>14</v>
      </c>
      <c r="C205" s="2">
        <v>45074.146886574075</v>
      </c>
      <c r="D205" s="2">
        <v>45074.150821759256</v>
      </c>
      <c r="E205" s="1" t="s">
        <v>35</v>
      </c>
      <c r="F205" s="1">
        <v>13022</v>
      </c>
      <c r="G205" s="1" t="s">
        <v>57</v>
      </c>
      <c r="H205" s="1" t="s">
        <v>58</v>
      </c>
      <c r="I205" s="1">
        <v>41.892715000000003</v>
      </c>
      <c r="J205" s="1">
        <v>-87.612404999999995</v>
      </c>
      <c r="K205" s="1">
        <v>41.911974000000001</v>
      </c>
      <c r="L205" s="1">
        <v>-87.635042999999996</v>
      </c>
      <c r="M205" s="1" t="s">
        <v>17</v>
      </c>
      <c r="N205" s="5">
        <f t="shared" si="9"/>
        <v>3.9351851810351945E-3</v>
      </c>
      <c r="O205" s="1">
        <f t="shared" si="10"/>
        <v>1</v>
      </c>
      <c r="P205" s="1" t="str">
        <f t="shared" si="11"/>
        <v>Sun</v>
      </c>
    </row>
    <row r="206" spans="1:16" x14ac:dyDescent="0.25">
      <c r="A206" s="1" t="s">
        <v>244</v>
      </c>
      <c r="B206" s="1" t="s">
        <v>14</v>
      </c>
      <c r="C206" s="2">
        <v>45076.525057870371</v>
      </c>
      <c r="D206" s="2">
        <v>45076.536712962959</v>
      </c>
      <c r="E206" s="1" t="s">
        <v>15</v>
      </c>
      <c r="F206" s="1">
        <v>13008</v>
      </c>
      <c r="G206" s="1" t="s">
        <v>24</v>
      </c>
      <c r="H206" s="1">
        <v>13263</v>
      </c>
      <c r="I206" s="1">
        <v>41.880817</v>
      </c>
      <c r="J206" s="1">
        <v>-87.624410999999995</v>
      </c>
      <c r="K206" s="1">
        <v>41.885125000000002</v>
      </c>
      <c r="L206" s="1">
        <v>-87.619940999999997</v>
      </c>
      <c r="M206" s="1" t="s">
        <v>31</v>
      </c>
      <c r="N206" s="5">
        <f t="shared" si="9"/>
        <v>1.1655092588625848E-2</v>
      </c>
      <c r="O206" s="1">
        <f t="shared" si="10"/>
        <v>3</v>
      </c>
      <c r="P206" s="1" t="str">
        <f t="shared" si="11"/>
        <v>Tue</v>
      </c>
    </row>
    <row r="207" spans="1:16" x14ac:dyDescent="0.25">
      <c r="A207" s="1" t="s">
        <v>245</v>
      </c>
      <c r="B207" s="1" t="s">
        <v>37</v>
      </c>
      <c r="C207" s="2">
        <v>45076.859398148146</v>
      </c>
      <c r="D207" s="2">
        <v>45076.86613425926</v>
      </c>
      <c r="E207" s="1" t="s">
        <v>16</v>
      </c>
      <c r="F207" s="1">
        <v>13045</v>
      </c>
      <c r="G207" s="1" t="s">
        <v>16</v>
      </c>
      <c r="H207" s="1">
        <v>13045</v>
      </c>
      <c r="I207" s="1">
        <v>41.893846000000003</v>
      </c>
      <c r="J207" s="1">
        <v>-87.629712999999995</v>
      </c>
      <c r="K207" s="1">
        <v>41.893714000000003</v>
      </c>
      <c r="L207" s="1">
        <v>-87.629299000000003</v>
      </c>
      <c r="M207" s="1" t="s">
        <v>17</v>
      </c>
      <c r="N207" s="5">
        <f t="shared" si="9"/>
        <v>6.7361111141508445E-3</v>
      </c>
      <c r="O207" s="1">
        <f t="shared" si="10"/>
        <v>3</v>
      </c>
      <c r="P207" s="1" t="str">
        <f t="shared" si="11"/>
        <v>Tue</v>
      </c>
    </row>
    <row r="208" spans="1:16" x14ac:dyDescent="0.25">
      <c r="A208" s="1" t="s">
        <v>246</v>
      </c>
      <c r="B208" s="1" t="s">
        <v>26</v>
      </c>
      <c r="C208" s="2">
        <v>45077.768310185187</v>
      </c>
      <c r="D208" s="2">
        <v>45077.776203703703</v>
      </c>
      <c r="E208" s="1" t="s">
        <v>24</v>
      </c>
      <c r="F208" s="1">
        <v>13263</v>
      </c>
      <c r="G208" s="1" t="s">
        <v>33</v>
      </c>
      <c r="H208" s="1" t="s">
        <v>34</v>
      </c>
      <c r="I208" s="1">
        <v>41.884804000000003</v>
      </c>
      <c r="J208" s="1">
        <v>-87.619860000000003</v>
      </c>
      <c r="K208" s="1">
        <v>41.886947999999997</v>
      </c>
      <c r="L208" s="1">
        <v>-87.612759999999994</v>
      </c>
      <c r="M208" s="1" t="s">
        <v>17</v>
      </c>
      <c r="N208" s="5">
        <f t="shared" si="9"/>
        <v>7.8935185156296939E-3</v>
      </c>
      <c r="O208" s="1">
        <f t="shared" si="10"/>
        <v>4</v>
      </c>
      <c r="P208" s="1" t="str">
        <f t="shared" si="11"/>
        <v>Wed</v>
      </c>
    </row>
    <row r="209" spans="1:16" x14ac:dyDescent="0.25">
      <c r="A209" s="1" t="s">
        <v>247</v>
      </c>
      <c r="B209" s="1" t="s">
        <v>26</v>
      </c>
      <c r="C209" s="2">
        <v>45077.773784722223</v>
      </c>
      <c r="D209" s="2">
        <v>45077.780069444445</v>
      </c>
      <c r="E209" s="1" t="s">
        <v>30</v>
      </c>
      <c r="F209" s="1">
        <v>13137</v>
      </c>
      <c r="G209" s="1" t="s">
        <v>41</v>
      </c>
      <c r="H209" s="1" t="s">
        <v>42</v>
      </c>
      <c r="I209" s="1">
        <v>41.937399999999997</v>
      </c>
      <c r="J209" s="1">
        <v>-87.644588999999996</v>
      </c>
      <c r="K209" s="1">
        <v>41.902855000000002</v>
      </c>
      <c r="L209" s="1">
        <v>-87.631478000000001</v>
      </c>
      <c r="M209" s="1" t="s">
        <v>17</v>
      </c>
      <c r="N209" s="5">
        <f t="shared" si="9"/>
        <v>6.284722221607808E-3</v>
      </c>
      <c r="O209" s="1">
        <f t="shared" si="10"/>
        <v>4</v>
      </c>
      <c r="P209" s="1" t="str">
        <f t="shared" si="11"/>
        <v>Wed</v>
      </c>
    </row>
    <row r="210" spans="1:16" x14ac:dyDescent="0.25">
      <c r="A210" s="1" t="s">
        <v>248</v>
      </c>
      <c r="B210" s="1" t="s">
        <v>37</v>
      </c>
      <c r="C210" s="2">
        <v>45078.370775462965</v>
      </c>
      <c r="D210" s="2">
        <v>45078.411643518521</v>
      </c>
      <c r="E210" s="1" t="s">
        <v>21</v>
      </c>
      <c r="F210" s="1">
        <v>21213</v>
      </c>
      <c r="G210" s="1" t="s">
        <v>15</v>
      </c>
      <c r="H210" s="1">
        <v>13008</v>
      </c>
      <c r="I210" s="1">
        <v>41.835132999999999</v>
      </c>
      <c r="J210" s="1">
        <v>-87.625707000000006</v>
      </c>
      <c r="K210" s="1">
        <v>41.880541000000001</v>
      </c>
      <c r="L210" s="1">
        <v>-87.624482999999998</v>
      </c>
      <c r="M210" s="1" t="s">
        <v>31</v>
      </c>
      <c r="N210" s="5">
        <f t="shared" si="9"/>
        <v>4.0868055555620231E-2</v>
      </c>
      <c r="O210" s="1">
        <f t="shared" si="10"/>
        <v>5</v>
      </c>
      <c r="P210" s="1" t="str">
        <f t="shared" si="11"/>
        <v>Thu</v>
      </c>
    </row>
    <row r="211" spans="1:16" x14ac:dyDescent="0.25">
      <c r="A211" s="1" t="s">
        <v>249</v>
      </c>
      <c r="B211" s="1" t="s">
        <v>14</v>
      </c>
      <c r="C211" s="2">
        <v>45078.990636574075</v>
      </c>
      <c r="D211" s="2">
        <v>45079.010046296295</v>
      </c>
      <c r="E211" s="1" t="s">
        <v>41</v>
      </c>
      <c r="F211" s="1" t="s">
        <v>42</v>
      </c>
      <c r="G211" s="1" t="s">
        <v>15</v>
      </c>
      <c r="H211" s="1">
        <v>13008</v>
      </c>
      <c r="I211" s="1">
        <v>41.903345999999999</v>
      </c>
      <c r="J211" s="1">
        <v>-87.630878999999993</v>
      </c>
      <c r="K211" s="1">
        <v>41.880954000000003</v>
      </c>
      <c r="L211" s="1">
        <v>-87.624307000000002</v>
      </c>
      <c r="M211" s="1" t="s">
        <v>31</v>
      </c>
      <c r="N211" s="5">
        <f t="shared" si="9"/>
        <v>1.9409722219279502E-2</v>
      </c>
      <c r="O211" s="1">
        <f t="shared" si="10"/>
        <v>5</v>
      </c>
      <c r="P211" s="1" t="str">
        <f t="shared" si="11"/>
        <v>Thu</v>
      </c>
    </row>
    <row r="212" spans="1:16" x14ac:dyDescent="0.25">
      <c r="A212" s="1" t="s">
        <v>250</v>
      </c>
      <c r="B212" s="1" t="s">
        <v>37</v>
      </c>
      <c r="C212" s="2">
        <v>45079.303831018522</v>
      </c>
      <c r="D212" s="2">
        <v>45079.312627314815</v>
      </c>
      <c r="E212" s="1" t="s">
        <v>15</v>
      </c>
      <c r="F212" s="1">
        <v>13008</v>
      </c>
      <c r="G212" s="1" t="s">
        <v>35</v>
      </c>
      <c r="H212" s="1">
        <v>13022</v>
      </c>
      <c r="I212" s="1">
        <v>41.880786000000001</v>
      </c>
      <c r="J212" s="1">
        <v>-87.624336999999997</v>
      </c>
      <c r="K212" s="1">
        <v>41.892474</v>
      </c>
      <c r="L212" s="1">
        <v>-87.611830999999995</v>
      </c>
      <c r="M212" s="1" t="s">
        <v>17</v>
      </c>
      <c r="N212" s="5">
        <f t="shared" si="9"/>
        <v>8.7962962934398092E-3</v>
      </c>
      <c r="O212" s="1">
        <f t="shared" si="10"/>
        <v>6</v>
      </c>
      <c r="P212" s="1" t="str">
        <f t="shared" si="11"/>
        <v>Fri</v>
      </c>
    </row>
    <row r="213" spans="1:16" x14ac:dyDescent="0.25">
      <c r="A213" s="1" t="s">
        <v>251</v>
      </c>
      <c r="B213" s="1" t="s">
        <v>14</v>
      </c>
      <c r="C213" s="2">
        <v>45080.053437499999</v>
      </c>
      <c r="D213" s="2">
        <v>45080.063634259262</v>
      </c>
      <c r="E213" s="1" t="s">
        <v>57</v>
      </c>
      <c r="F213" s="1" t="s">
        <v>58</v>
      </c>
      <c r="G213" s="1" t="s">
        <v>16</v>
      </c>
      <c r="H213" s="1">
        <v>13045</v>
      </c>
      <c r="I213" s="1">
        <v>41.91178</v>
      </c>
      <c r="J213" s="1">
        <v>-87.634949000000006</v>
      </c>
      <c r="K213" s="1">
        <v>41.893805</v>
      </c>
      <c r="L213" s="1">
        <v>-87.629182</v>
      </c>
      <c r="M213" s="1" t="s">
        <v>17</v>
      </c>
      <c r="N213" s="5">
        <f t="shared" si="9"/>
        <v>1.0196759263635613E-2</v>
      </c>
      <c r="O213" s="1">
        <f t="shared" si="10"/>
        <v>7</v>
      </c>
      <c r="P213" s="1" t="str">
        <f t="shared" si="11"/>
        <v>Sat</v>
      </c>
    </row>
    <row r="214" spans="1:16" x14ac:dyDescent="0.25">
      <c r="A214" s="1" t="s">
        <v>252</v>
      </c>
      <c r="B214" s="1" t="s">
        <v>37</v>
      </c>
      <c r="C214" s="2">
        <v>45080.517962962964</v>
      </c>
      <c r="D214" s="2">
        <v>45080.570289351854</v>
      </c>
      <c r="E214" s="1" t="s">
        <v>66</v>
      </c>
      <c r="F214" s="1">
        <v>13042</v>
      </c>
      <c r="G214" s="1" t="s">
        <v>21</v>
      </c>
      <c r="H214" s="1">
        <v>21213</v>
      </c>
      <c r="I214" s="1">
        <v>41.901232</v>
      </c>
      <c r="J214" s="1">
        <v>-87.623652000000007</v>
      </c>
      <c r="K214" s="1">
        <v>41.834608000000003</v>
      </c>
      <c r="L214" s="1">
        <v>-87.626262999999994</v>
      </c>
      <c r="M214" s="1" t="s">
        <v>31</v>
      </c>
      <c r="N214" s="5">
        <f t="shared" si="9"/>
        <v>5.2326388889923692E-2</v>
      </c>
      <c r="O214" s="1">
        <f t="shared" si="10"/>
        <v>7</v>
      </c>
      <c r="P214" s="1" t="str">
        <f t="shared" si="11"/>
        <v>Sat</v>
      </c>
    </row>
    <row r="215" spans="1:16" x14ac:dyDescent="0.25">
      <c r="A215" s="1" t="s">
        <v>253</v>
      </c>
      <c r="B215" s="1" t="s">
        <v>37</v>
      </c>
      <c r="C215" s="2">
        <v>45080.639907407407</v>
      </c>
      <c r="D215" s="2">
        <v>45080.644328703704</v>
      </c>
      <c r="E215" s="1" t="s">
        <v>41</v>
      </c>
      <c r="F215" s="1" t="s">
        <v>42</v>
      </c>
      <c r="G215" s="1" t="s">
        <v>41</v>
      </c>
      <c r="H215" s="1" t="s">
        <v>42</v>
      </c>
      <c r="I215" s="1">
        <v>41.903387000000002</v>
      </c>
      <c r="J215" s="1">
        <v>-87.631662000000006</v>
      </c>
      <c r="K215" s="1">
        <v>41.90305</v>
      </c>
      <c r="L215" s="1">
        <v>-87.631506000000002</v>
      </c>
      <c r="M215" s="1" t="s">
        <v>17</v>
      </c>
      <c r="N215" s="5">
        <f t="shared" si="9"/>
        <v>4.4212962966412306E-3</v>
      </c>
      <c r="O215" s="1">
        <f t="shared" si="10"/>
        <v>7</v>
      </c>
      <c r="P215" s="1" t="str">
        <f t="shared" si="11"/>
        <v>Sat</v>
      </c>
    </row>
    <row r="216" spans="1:16" x14ac:dyDescent="0.25">
      <c r="A216" s="1" t="s">
        <v>254</v>
      </c>
      <c r="B216" s="1" t="s">
        <v>14</v>
      </c>
      <c r="C216" s="2">
        <v>45080.71601851852</v>
      </c>
      <c r="D216" s="2">
        <v>45080.729247685187</v>
      </c>
      <c r="E216" s="1" t="s">
        <v>57</v>
      </c>
      <c r="F216" s="1" t="s">
        <v>58</v>
      </c>
      <c r="G216" s="1" t="s">
        <v>27</v>
      </c>
      <c r="H216" s="1" t="s">
        <v>28</v>
      </c>
      <c r="I216" s="1">
        <v>41.912177999999997</v>
      </c>
      <c r="J216" s="1">
        <v>-87.634951999999998</v>
      </c>
      <c r="K216" s="1">
        <v>41.888931999999997</v>
      </c>
      <c r="L216" s="1">
        <v>-87.638710000000003</v>
      </c>
      <c r="M216" s="1" t="s">
        <v>31</v>
      </c>
      <c r="N216" s="5">
        <f t="shared" si="9"/>
        <v>1.3229166666860692E-2</v>
      </c>
      <c r="O216" s="1">
        <f t="shared" si="10"/>
        <v>7</v>
      </c>
      <c r="P216" s="1" t="str">
        <f t="shared" si="11"/>
        <v>Sat</v>
      </c>
    </row>
    <row r="217" spans="1:16" x14ac:dyDescent="0.25">
      <c r="A217" s="1" t="s">
        <v>255</v>
      </c>
      <c r="B217" s="1" t="s">
        <v>14</v>
      </c>
      <c r="C217" s="2">
        <v>45081.151909722219</v>
      </c>
      <c r="D217" s="2">
        <v>45081.154988425929</v>
      </c>
      <c r="E217" s="1" t="s">
        <v>16</v>
      </c>
      <c r="F217" s="1">
        <v>13045</v>
      </c>
      <c r="G217" s="1" t="s">
        <v>19</v>
      </c>
      <c r="H217" s="1" t="s">
        <v>20</v>
      </c>
      <c r="I217" s="1">
        <v>41.894247999999997</v>
      </c>
      <c r="J217" s="1">
        <v>-87.629358999999994</v>
      </c>
      <c r="K217" s="1">
        <v>41.926065999999999</v>
      </c>
      <c r="L217" s="1">
        <v>-87.630433999999994</v>
      </c>
      <c r="M217" s="1" t="s">
        <v>17</v>
      </c>
      <c r="N217" s="5">
        <f t="shared" si="9"/>
        <v>3.0787037103436887E-3</v>
      </c>
      <c r="O217" s="1">
        <f t="shared" si="10"/>
        <v>1</v>
      </c>
      <c r="P217" s="1" t="str">
        <f t="shared" si="11"/>
        <v>Sun</v>
      </c>
    </row>
    <row r="218" spans="1:16" x14ac:dyDescent="0.25">
      <c r="A218" s="1" t="s">
        <v>256</v>
      </c>
      <c r="B218" s="1" t="s">
        <v>14</v>
      </c>
      <c r="C218" s="2">
        <v>45081.511597222219</v>
      </c>
      <c r="D218" s="2">
        <v>45081.523854166669</v>
      </c>
      <c r="E218" s="1" t="s">
        <v>41</v>
      </c>
      <c r="F218" s="1" t="s">
        <v>42</v>
      </c>
      <c r="G218" s="1" t="s">
        <v>41</v>
      </c>
      <c r="H218" s="1" t="s">
        <v>42</v>
      </c>
      <c r="I218" s="1">
        <v>41.903008</v>
      </c>
      <c r="J218" s="1">
        <v>-87.631694999999993</v>
      </c>
      <c r="K218" s="1">
        <v>41.902776000000003</v>
      </c>
      <c r="L218" s="1">
        <v>-87.631034999999997</v>
      </c>
      <c r="M218" s="1" t="s">
        <v>31</v>
      </c>
      <c r="N218" s="5">
        <f t="shared" si="9"/>
        <v>1.2256944450200535E-2</v>
      </c>
      <c r="O218" s="1">
        <f t="shared" si="10"/>
        <v>1</v>
      </c>
      <c r="P218" s="1" t="str">
        <f t="shared" si="11"/>
        <v>Sun</v>
      </c>
    </row>
    <row r="219" spans="1:16" x14ac:dyDescent="0.25">
      <c r="A219" s="1" t="s">
        <v>257</v>
      </c>
      <c r="B219" s="1" t="s">
        <v>37</v>
      </c>
      <c r="C219" s="2">
        <v>45082.534803240742</v>
      </c>
      <c r="D219" s="2">
        <v>45082.544930555552</v>
      </c>
      <c r="E219" s="1" t="s">
        <v>24</v>
      </c>
      <c r="F219" s="1">
        <v>13263</v>
      </c>
      <c r="G219" s="1" t="s">
        <v>35</v>
      </c>
      <c r="H219" s="1">
        <v>13022</v>
      </c>
      <c r="I219" s="1">
        <v>41.885204999999999</v>
      </c>
      <c r="J219" s="1">
        <v>-87.619197999999997</v>
      </c>
      <c r="K219" s="1">
        <v>41.892299999999999</v>
      </c>
      <c r="L219" s="1">
        <v>-87.61242</v>
      </c>
      <c r="M219" s="1" t="s">
        <v>31</v>
      </c>
      <c r="N219" s="5">
        <f t="shared" si="9"/>
        <v>1.0127314810233656E-2</v>
      </c>
      <c r="O219" s="1">
        <f t="shared" si="10"/>
        <v>2</v>
      </c>
      <c r="P219" s="1" t="str">
        <f t="shared" si="11"/>
        <v>Mon</v>
      </c>
    </row>
    <row r="220" spans="1:16" x14ac:dyDescent="0.25">
      <c r="A220" s="1" t="s">
        <v>258</v>
      </c>
      <c r="B220" s="1" t="s">
        <v>14</v>
      </c>
      <c r="C220" s="2">
        <v>45082.980624999997</v>
      </c>
      <c r="D220" s="2">
        <v>45082.984733796293</v>
      </c>
      <c r="E220" s="1" t="s">
        <v>35</v>
      </c>
      <c r="F220" s="1">
        <v>13022</v>
      </c>
      <c r="G220" s="1" t="s">
        <v>15</v>
      </c>
      <c r="H220" s="1">
        <v>13008</v>
      </c>
      <c r="I220" s="1">
        <v>41.892118000000004</v>
      </c>
      <c r="J220" s="1">
        <v>-87.612026</v>
      </c>
      <c r="K220" s="1">
        <v>41.880910999999998</v>
      </c>
      <c r="L220" s="1">
        <v>-87.624577000000002</v>
      </c>
      <c r="M220" s="1" t="s">
        <v>17</v>
      </c>
      <c r="N220" s="5">
        <f t="shared" si="9"/>
        <v>4.1087962963501923E-3</v>
      </c>
      <c r="O220" s="1">
        <f t="shared" si="10"/>
        <v>2</v>
      </c>
      <c r="P220" s="1" t="str">
        <f t="shared" si="11"/>
        <v>Mon</v>
      </c>
    </row>
    <row r="221" spans="1:16" x14ac:dyDescent="0.25">
      <c r="A221" s="1" t="s">
        <v>259</v>
      </c>
      <c r="B221" s="1" t="s">
        <v>14</v>
      </c>
      <c r="C221" s="2">
        <v>45083.076828703706</v>
      </c>
      <c r="D221" s="2">
        <v>45083.083993055552</v>
      </c>
      <c r="E221" s="1" t="s">
        <v>23</v>
      </c>
      <c r="F221" s="1">
        <v>13011</v>
      </c>
      <c r="G221" s="1" t="s">
        <v>57</v>
      </c>
      <c r="H221" s="1" t="s">
        <v>58</v>
      </c>
      <c r="I221" s="1">
        <v>41.879033999999997</v>
      </c>
      <c r="J221" s="1">
        <v>-87.639760999999993</v>
      </c>
      <c r="K221" s="1">
        <v>41.912326999999998</v>
      </c>
      <c r="L221" s="1">
        <v>-87.634642999999997</v>
      </c>
      <c r="M221" s="1" t="s">
        <v>31</v>
      </c>
      <c r="N221" s="5">
        <f t="shared" si="9"/>
        <v>7.1643518458586186E-3</v>
      </c>
      <c r="O221" s="1">
        <f t="shared" si="10"/>
        <v>3</v>
      </c>
      <c r="P221" s="1" t="str">
        <f t="shared" si="11"/>
        <v>Tue</v>
      </c>
    </row>
    <row r="222" spans="1:16" x14ac:dyDescent="0.25">
      <c r="A222" s="1" t="s">
        <v>260</v>
      </c>
      <c r="B222" s="1" t="s">
        <v>26</v>
      </c>
      <c r="C222" s="2">
        <v>45083.473101851851</v>
      </c>
      <c r="D222" s="2">
        <v>45083.477233796293</v>
      </c>
      <c r="E222" s="1" t="s">
        <v>41</v>
      </c>
      <c r="F222" s="1" t="s">
        <v>42</v>
      </c>
      <c r="G222" s="1" t="s">
        <v>43</v>
      </c>
      <c r="H222" s="1" t="s">
        <v>44</v>
      </c>
      <c r="I222" s="1">
        <v>41.903210999999999</v>
      </c>
      <c r="J222" s="1">
        <v>-87.631074999999996</v>
      </c>
      <c r="K222" s="1">
        <v>41.903145000000002</v>
      </c>
      <c r="L222" s="1">
        <v>-87.634477000000004</v>
      </c>
      <c r="M222" s="1" t="s">
        <v>17</v>
      </c>
      <c r="N222" s="5">
        <f t="shared" si="9"/>
        <v>4.1319444426335394E-3</v>
      </c>
      <c r="O222" s="1">
        <f t="shared" si="10"/>
        <v>3</v>
      </c>
      <c r="P222" s="1" t="str">
        <f t="shared" si="11"/>
        <v>Tue</v>
      </c>
    </row>
    <row r="223" spans="1:16" x14ac:dyDescent="0.25">
      <c r="A223" s="1" t="s">
        <v>261</v>
      </c>
      <c r="B223" s="1" t="s">
        <v>14</v>
      </c>
      <c r="C223" s="2">
        <v>45084.474340277775</v>
      </c>
      <c r="D223" s="2">
        <v>45084.484849537039</v>
      </c>
      <c r="E223" s="1" t="s">
        <v>15</v>
      </c>
      <c r="F223" s="1">
        <v>13008</v>
      </c>
      <c r="G223" s="1" t="s">
        <v>24</v>
      </c>
      <c r="H223" s="1">
        <v>13263</v>
      </c>
      <c r="I223" s="1">
        <v>41.880826999999996</v>
      </c>
      <c r="J223" s="1">
        <v>-87.624493000000001</v>
      </c>
      <c r="K223" s="1">
        <v>41.884895999999998</v>
      </c>
      <c r="L223" s="1">
        <v>-87.619888000000003</v>
      </c>
      <c r="M223" s="1" t="s">
        <v>17</v>
      </c>
      <c r="N223" s="5">
        <f t="shared" si="9"/>
        <v>1.0509259263926651E-2</v>
      </c>
      <c r="O223" s="1">
        <f t="shared" si="10"/>
        <v>4</v>
      </c>
      <c r="P223" s="1" t="str">
        <f t="shared" si="11"/>
        <v>Wed</v>
      </c>
    </row>
    <row r="224" spans="1:16" x14ac:dyDescent="0.25">
      <c r="A224" s="1" t="s">
        <v>262</v>
      </c>
      <c r="B224" s="1" t="s">
        <v>37</v>
      </c>
      <c r="C224" s="2">
        <v>45086.174988425926</v>
      </c>
      <c r="D224" s="2">
        <v>45086.185925925929</v>
      </c>
      <c r="E224" s="1" t="s">
        <v>66</v>
      </c>
      <c r="F224" s="1">
        <v>13042</v>
      </c>
      <c r="G224" s="1" t="s">
        <v>66</v>
      </c>
      <c r="H224" s="1">
        <v>13042</v>
      </c>
      <c r="I224" s="1">
        <v>41.900793999999998</v>
      </c>
      <c r="J224" s="1">
        <v>-87.623491999999999</v>
      </c>
      <c r="K224" s="1">
        <v>41.901167999999998</v>
      </c>
      <c r="L224" s="1">
        <v>-87.623487999999995</v>
      </c>
      <c r="M224" s="1" t="s">
        <v>31</v>
      </c>
      <c r="N224" s="5">
        <f t="shared" si="9"/>
        <v>1.0937500002910383E-2</v>
      </c>
      <c r="O224" s="1">
        <f t="shared" si="10"/>
        <v>6</v>
      </c>
      <c r="P224" s="1" t="str">
        <f t="shared" si="11"/>
        <v>Fri</v>
      </c>
    </row>
    <row r="225" spans="1:16" x14ac:dyDescent="0.25">
      <c r="A225" s="1" t="s">
        <v>263</v>
      </c>
      <c r="B225" s="1" t="s">
        <v>37</v>
      </c>
      <c r="C225" s="2">
        <v>45086.330300925925</v>
      </c>
      <c r="D225" s="2">
        <v>45086.345370370371</v>
      </c>
      <c r="E225" s="1" t="s">
        <v>19</v>
      </c>
      <c r="F225" s="1" t="s">
        <v>20</v>
      </c>
      <c r="G225" s="1" t="s">
        <v>27</v>
      </c>
      <c r="H225" s="1" t="s">
        <v>28</v>
      </c>
      <c r="I225" s="1">
        <v>41.926138999999999</v>
      </c>
      <c r="J225" s="1">
        <v>-87.630508000000006</v>
      </c>
      <c r="K225" s="1">
        <v>41.889378000000001</v>
      </c>
      <c r="L225" s="1">
        <v>-87.638547000000003</v>
      </c>
      <c r="M225" s="1" t="s">
        <v>17</v>
      </c>
      <c r="N225" s="5">
        <f t="shared" si="9"/>
        <v>1.5069444445543922E-2</v>
      </c>
      <c r="O225" s="1">
        <f t="shared" si="10"/>
        <v>6</v>
      </c>
      <c r="P225" s="1" t="str">
        <f t="shared" si="11"/>
        <v>Fri</v>
      </c>
    </row>
    <row r="226" spans="1:16" x14ac:dyDescent="0.25">
      <c r="A226" s="1" t="s">
        <v>264</v>
      </c>
      <c r="B226" s="1" t="s">
        <v>14</v>
      </c>
      <c r="C226" s="2">
        <v>45086.362511574072</v>
      </c>
      <c r="D226" s="2">
        <v>45086.373831018522</v>
      </c>
      <c r="E226" s="1" t="s">
        <v>27</v>
      </c>
      <c r="F226" s="1" t="s">
        <v>28</v>
      </c>
      <c r="G226" s="1" t="s">
        <v>27</v>
      </c>
      <c r="H226" s="1" t="s">
        <v>28</v>
      </c>
      <c r="I226" s="1">
        <v>41.889457999999998</v>
      </c>
      <c r="J226" s="1">
        <v>-87.638546000000005</v>
      </c>
      <c r="K226" s="1">
        <v>41.888734999999997</v>
      </c>
      <c r="L226" s="1">
        <v>-87.638011000000006</v>
      </c>
      <c r="M226" s="1" t="s">
        <v>17</v>
      </c>
      <c r="N226" s="5">
        <f t="shared" si="9"/>
        <v>1.131944444932742E-2</v>
      </c>
      <c r="O226" s="1">
        <f t="shared" si="10"/>
        <v>6</v>
      </c>
      <c r="P226" s="1" t="str">
        <f t="shared" si="11"/>
        <v>Fri</v>
      </c>
    </row>
    <row r="227" spans="1:16" x14ac:dyDescent="0.25">
      <c r="A227" s="1" t="s">
        <v>265</v>
      </c>
      <c r="B227" s="1" t="s">
        <v>37</v>
      </c>
      <c r="C227" s="2">
        <v>45086.924571759257</v>
      </c>
      <c r="D227" s="2">
        <v>45086.93677083333</v>
      </c>
      <c r="E227" s="1" t="s">
        <v>23</v>
      </c>
      <c r="F227" s="1">
        <v>13011</v>
      </c>
      <c r="G227" s="1" t="s">
        <v>23</v>
      </c>
      <c r="H227" s="1">
        <v>13011</v>
      </c>
      <c r="I227" s="1">
        <v>41.879565999999997</v>
      </c>
      <c r="J227" s="1">
        <v>-87.639583000000002</v>
      </c>
      <c r="K227" s="1">
        <v>41.879381000000002</v>
      </c>
      <c r="L227" s="1">
        <v>-87.639583999999999</v>
      </c>
      <c r="M227" s="1" t="s">
        <v>17</v>
      </c>
      <c r="N227" s="5">
        <f t="shared" si="9"/>
        <v>1.2199074073578231E-2</v>
      </c>
      <c r="O227" s="1">
        <f t="shared" si="10"/>
        <v>6</v>
      </c>
      <c r="P227" s="1" t="str">
        <f t="shared" si="11"/>
        <v>Fri</v>
      </c>
    </row>
    <row r="228" spans="1:16" x14ac:dyDescent="0.25">
      <c r="A228" s="1" t="s">
        <v>266</v>
      </c>
      <c r="B228" s="1" t="s">
        <v>37</v>
      </c>
      <c r="C228" s="2">
        <v>45088.221550925926</v>
      </c>
      <c r="D228" s="2">
        <v>45088.225995370369</v>
      </c>
      <c r="E228" s="1" t="s">
        <v>16</v>
      </c>
      <c r="F228" s="1">
        <v>13045</v>
      </c>
      <c r="G228" s="1" t="s">
        <v>16</v>
      </c>
      <c r="H228" s="1">
        <v>13045</v>
      </c>
      <c r="I228" s="1">
        <v>41.894421999999999</v>
      </c>
      <c r="J228" s="1">
        <v>-87.629748000000006</v>
      </c>
      <c r="K228" s="1">
        <v>41.893701</v>
      </c>
      <c r="L228" s="1">
        <v>-87.629147000000003</v>
      </c>
      <c r="M228" s="1" t="s">
        <v>17</v>
      </c>
      <c r="N228" s="5">
        <f t="shared" si="9"/>
        <v>4.4444444429245777E-3</v>
      </c>
      <c r="O228" s="1">
        <f t="shared" si="10"/>
        <v>1</v>
      </c>
      <c r="P228" s="1" t="str">
        <f t="shared" si="11"/>
        <v>Sun</v>
      </c>
    </row>
    <row r="229" spans="1:16" x14ac:dyDescent="0.25">
      <c r="A229" s="1" t="s">
        <v>267</v>
      </c>
      <c r="B229" s="1" t="s">
        <v>37</v>
      </c>
      <c r="C229" s="2">
        <v>45088.851087962961</v>
      </c>
      <c r="D229" s="2">
        <v>45088.86614583333</v>
      </c>
      <c r="E229" s="1" t="s">
        <v>23</v>
      </c>
      <c r="F229" s="1">
        <v>13011</v>
      </c>
      <c r="G229" s="1" t="s">
        <v>24</v>
      </c>
      <c r="H229" s="1">
        <v>13263</v>
      </c>
      <c r="I229" s="1">
        <v>41.879156999999999</v>
      </c>
      <c r="J229" s="1">
        <v>-87.640353000000005</v>
      </c>
      <c r="K229" s="1">
        <v>41.884725000000003</v>
      </c>
      <c r="L229" s="1">
        <v>-87.619898000000006</v>
      </c>
      <c r="M229" s="1" t="s">
        <v>17</v>
      </c>
      <c r="N229" s="5">
        <f t="shared" si="9"/>
        <v>1.505787036876427E-2</v>
      </c>
      <c r="O229" s="1">
        <f t="shared" si="10"/>
        <v>1</v>
      </c>
      <c r="P229" s="1" t="str">
        <f t="shared" si="11"/>
        <v>Sun</v>
      </c>
    </row>
    <row r="230" spans="1:16" x14ac:dyDescent="0.25">
      <c r="A230" s="1" t="s">
        <v>268</v>
      </c>
      <c r="B230" s="1" t="s">
        <v>14</v>
      </c>
      <c r="C230" s="2">
        <v>45089.689918981479</v>
      </c>
      <c r="D230" s="2">
        <v>45089.701898148145</v>
      </c>
      <c r="E230" s="1" t="s">
        <v>21</v>
      </c>
      <c r="F230" s="1">
        <v>21213</v>
      </c>
      <c r="G230" s="1" t="s">
        <v>23</v>
      </c>
      <c r="H230" s="1">
        <v>13011</v>
      </c>
      <c r="I230" s="1">
        <v>41.835101999999999</v>
      </c>
      <c r="J230" s="1">
        <v>-87.625484999999998</v>
      </c>
      <c r="K230" s="1">
        <v>41.879381000000002</v>
      </c>
      <c r="L230" s="1">
        <v>-87.640328999999994</v>
      </c>
      <c r="M230" s="1" t="s">
        <v>17</v>
      </c>
      <c r="N230" s="5">
        <f t="shared" si="9"/>
        <v>1.1979166665696539E-2</v>
      </c>
      <c r="O230" s="1">
        <f t="shared" si="10"/>
        <v>2</v>
      </c>
      <c r="P230" s="1" t="str">
        <f t="shared" si="11"/>
        <v>Mon</v>
      </c>
    </row>
    <row r="231" spans="1:16" x14ac:dyDescent="0.25">
      <c r="A231" s="1" t="s">
        <v>269</v>
      </c>
      <c r="B231" s="1" t="s">
        <v>14</v>
      </c>
      <c r="C231" s="2">
        <v>45089.825300925928</v>
      </c>
      <c r="D231" s="2">
        <v>45089.831770833334</v>
      </c>
      <c r="E231" s="1" t="s">
        <v>47</v>
      </c>
      <c r="F231" s="1" t="s">
        <v>48</v>
      </c>
      <c r="G231" s="1" t="s">
        <v>57</v>
      </c>
      <c r="H231" s="1" t="s">
        <v>58</v>
      </c>
      <c r="I231" s="1">
        <v>41.882615000000001</v>
      </c>
      <c r="J231" s="1">
        <v>-87.641065999999995</v>
      </c>
      <c r="K231" s="1">
        <v>41.912362999999999</v>
      </c>
      <c r="L231" s="1">
        <v>-87.634536999999995</v>
      </c>
      <c r="M231" s="1" t="s">
        <v>31</v>
      </c>
      <c r="N231" s="5">
        <f t="shared" si="9"/>
        <v>6.4699074064265005E-3</v>
      </c>
      <c r="O231" s="1">
        <f t="shared" si="10"/>
        <v>2</v>
      </c>
      <c r="P231" s="1" t="str">
        <f t="shared" si="11"/>
        <v>Mon</v>
      </c>
    </row>
    <row r="232" spans="1:16" x14ac:dyDescent="0.25">
      <c r="A232" s="1" t="s">
        <v>270</v>
      </c>
      <c r="B232" s="1" t="s">
        <v>14</v>
      </c>
      <c r="C232" s="2">
        <v>45089.908275462964</v>
      </c>
      <c r="D232" s="2">
        <v>45089.944930555554</v>
      </c>
      <c r="E232" s="1" t="s">
        <v>19</v>
      </c>
      <c r="F232" s="1" t="s">
        <v>20</v>
      </c>
      <c r="G232" s="1" t="s">
        <v>24</v>
      </c>
      <c r="H232" s="1">
        <v>13263</v>
      </c>
      <c r="I232" s="1">
        <v>41.926665</v>
      </c>
      <c r="J232" s="1">
        <v>-87.631009000000006</v>
      </c>
      <c r="K232" s="1">
        <v>41.885128999999999</v>
      </c>
      <c r="L232" s="1">
        <v>-87.619024999999993</v>
      </c>
      <c r="M232" s="1" t="s">
        <v>31</v>
      </c>
      <c r="N232" s="5">
        <f t="shared" si="9"/>
        <v>3.665509259008104E-2</v>
      </c>
      <c r="O232" s="1">
        <f t="shared" si="10"/>
        <v>2</v>
      </c>
      <c r="P232" s="1" t="str">
        <f t="shared" si="11"/>
        <v>Mon</v>
      </c>
    </row>
    <row r="233" spans="1:16" x14ac:dyDescent="0.25">
      <c r="A233" s="1">
        <v>564793002368730</v>
      </c>
      <c r="B233" s="1" t="s">
        <v>26</v>
      </c>
      <c r="C233" s="2">
        <v>45090.369733796295</v>
      </c>
      <c r="D233" s="2">
        <v>45090.373842592591</v>
      </c>
      <c r="E233" s="1" t="s">
        <v>30</v>
      </c>
      <c r="F233" s="1">
        <v>13137</v>
      </c>
      <c r="G233" s="1" t="s">
        <v>19</v>
      </c>
      <c r="H233" s="1" t="s">
        <v>20</v>
      </c>
      <c r="I233" s="1">
        <v>41.937542999999998</v>
      </c>
      <c r="J233" s="1">
        <v>-87.644311999999999</v>
      </c>
      <c r="K233" s="1">
        <v>41.926023999999998</v>
      </c>
      <c r="L233" s="1">
        <v>-87.630689000000004</v>
      </c>
      <c r="M233" s="1" t="s">
        <v>17</v>
      </c>
      <c r="N233" s="5">
        <f t="shared" si="9"/>
        <v>4.1087962963501923E-3</v>
      </c>
      <c r="O233" s="1">
        <f t="shared" si="10"/>
        <v>3</v>
      </c>
      <c r="P233" s="1" t="str">
        <f t="shared" si="11"/>
        <v>Tue</v>
      </c>
    </row>
    <row r="234" spans="1:16" x14ac:dyDescent="0.25">
      <c r="A234" s="1" t="s">
        <v>271</v>
      </c>
      <c r="B234" s="1" t="s">
        <v>14</v>
      </c>
      <c r="C234" s="2">
        <v>45090.541921296295</v>
      </c>
      <c r="D234" s="2">
        <v>45090.555925925924</v>
      </c>
      <c r="E234" s="1" t="s">
        <v>16</v>
      </c>
      <c r="F234" s="1">
        <v>13045</v>
      </c>
      <c r="G234" s="1" t="s">
        <v>16</v>
      </c>
      <c r="H234" s="1">
        <v>13045</v>
      </c>
      <c r="I234" s="1">
        <v>41.893661999999999</v>
      </c>
      <c r="J234" s="1">
        <v>-87.629298000000006</v>
      </c>
      <c r="K234" s="1">
        <v>41.893828999999997</v>
      </c>
      <c r="L234" s="1">
        <v>-87.628989000000004</v>
      </c>
      <c r="M234" s="1" t="s">
        <v>31</v>
      </c>
      <c r="N234" s="5">
        <f t="shared" si="9"/>
        <v>1.4004629629198462E-2</v>
      </c>
      <c r="O234" s="1">
        <f t="shared" si="10"/>
        <v>3</v>
      </c>
      <c r="P234" s="1" t="str">
        <f t="shared" si="11"/>
        <v>Tue</v>
      </c>
    </row>
    <row r="235" spans="1:16" x14ac:dyDescent="0.25">
      <c r="A235" s="1" t="s">
        <v>272</v>
      </c>
      <c r="B235" s="1" t="s">
        <v>37</v>
      </c>
      <c r="C235" s="2">
        <v>45090.655949074076</v>
      </c>
      <c r="D235" s="2">
        <v>45090.665092592593</v>
      </c>
      <c r="E235" s="1" t="s">
        <v>27</v>
      </c>
      <c r="F235" s="1" t="s">
        <v>28</v>
      </c>
      <c r="G235" s="1" t="s">
        <v>57</v>
      </c>
      <c r="H235" s="1" t="s">
        <v>58</v>
      </c>
      <c r="I235" s="1">
        <v>41.888826000000002</v>
      </c>
      <c r="J235" s="1">
        <v>-87.638879000000003</v>
      </c>
      <c r="K235" s="1">
        <v>41.912497999999999</v>
      </c>
      <c r="L235" s="1">
        <v>-87.634912999999997</v>
      </c>
      <c r="M235" s="1" t="s">
        <v>31</v>
      </c>
      <c r="N235" s="5">
        <f t="shared" si="9"/>
        <v>9.1435185167938471E-3</v>
      </c>
      <c r="O235" s="1">
        <f t="shared" si="10"/>
        <v>3</v>
      </c>
      <c r="P235" s="1" t="str">
        <f t="shared" si="11"/>
        <v>Tue</v>
      </c>
    </row>
    <row r="236" spans="1:16" x14ac:dyDescent="0.25">
      <c r="A236" s="1" t="s">
        <v>273</v>
      </c>
      <c r="B236" s="1" t="s">
        <v>14</v>
      </c>
      <c r="C236" s="2">
        <v>45093.651828703703</v>
      </c>
      <c r="D236" s="2">
        <v>45093.658599537041</v>
      </c>
      <c r="E236" s="1" t="s">
        <v>66</v>
      </c>
      <c r="F236" s="1">
        <v>13042</v>
      </c>
      <c r="G236" s="1" t="s">
        <v>19</v>
      </c>
      <c r="H236" s="1" t="s">
        <v>20</v>
      </c>
      <c r="I236" s="1">
        <v>41.901038</v>
      </c>
      <c r="J236" s="1">
        <v>-87.624003000000002</v>
      </c>
      <c r="K236" s="1">
        <v>41.925856000000003</v>
      </c>
      <c r="L236" s="1">
        <v>-87.631247999999999</v>
      </c>
      <c r="M236" s="1" t="s">
        <v>17</v>
      </c>
      <c r="N236" s="5">
        <f t="shared" si="9"/>
        <v>6.7708333372138441E-3</v>
      </c>
      <c r="O236" s="1">
        <f t="shared" si="10"/>
        <v>6</v>
      </c>
      <c r="P236" s="1" t="str">
        <f t="shared" si="11"/>
        <v>Fri</v>
      </c>
    </row>
    <row r="237" spans="1:16" x14ac:dyDescent="0.25">
      <c r="A237" s="1" t="s">
        <v>274</v>
      </c>
      <c r="B237" s="1" t="s">
        <v>37</v>
      </c>
      <c r="C237" s="2">
        <v>45094.2340625</v>
      </c>
      <c r="D237" s="2">
        <v>45094.260601851849</v>
      </c>
      <c r="E237" s="1" t="s">
        <v>33</v>
      </c>
      <c r="F237" s="1" t="s">
        <v>34</v>
      </c>
      <c r="G237" s="1" t="s">
        <v>16</v>
      </c>
      <c r="H237" s="1">
        <v>13045</v>
      </c>
      <c r="I237" s="1">
        <v>41.886574000000003</v>
      </c>
      <c r="J237" s="1">
        <v>-87.612628999999998</v>
      </c>
      <c r="K237" s="1">
        <v>41.893932</v>
      </c>
      <c r="L237" s="1">
        <v>-87.629695999999996</v>
      </c>
      <c r="M237" s="1" t="s">
        <v>17</v>
      </c>
      <c r="N237" s="5">
        <f t="shared" si="9"/>
        <v>2.6539351849351078E-2</v>
      </c>
      <c r="O237" s="1">
        <f t="shared" si="10"/>
        <v>7</v>
      </c>
      <c r="P237" s="1" t="str">
        <f t="shared" si="11"/>
        <v>Sat</v>
      </c>
    </row>
    <row r="238" spans="1:16" x14ac:dyDescent="0.25">
      <c r="A238" s="1" t="s">
        <v>275</v>
      </c>
      <c r="B238" s="1" t="s">
        <v>14</v>
      </c>
      <c r="C238" s="2">
        <v>45094.33021990741</v>
      </c>
      <c r="D238" s="2">
        <v>45094.338483796295</v>
      </c>
      <c r="E238" s="1" t="s">
        <v>35</v>
      </c>
      <c r="F238" s="1">
        <v>13022</v>
      </c>
      <c r="G238" s="1" t="s">
        <v>47</v>
      </c>
      <c r="H238" s="1" t="s">
        <v>48</v>
      </c>
      <c r="I238" s="1">
        <v>41.892598</v>
      </c>
      <c r="J238" s="1">
        <v>-87.611717999999996</v>
      </c>
      <c r="K238" s="1">
        <v>41.882530000000003</v>
      </c>
      <c r="L238" s="1">
        <v>-87.641283000000001</v>
      </c>
      <c r="M238" s="1" t="s">
        <v>31</v>
      </c>
      <c r="N238" s="5">
        <f t="shared" si="9"/>
        <v>8.2638888852670789E-3</v>
      </c>
      <c r="O238" s="1">
        <f t="shared" si="10"/>
        <v>7</v>
      </c>
      <c r="P238" s="1" t="str">
        <f t="shared" si="11"/>
        <v>Sat</v>
      </c>
    </row>
    <row r="239" spans="1:16" x14ac:dyDescent="0.25">
      <c r="A239" s="1" t="s">
        <v>276</v>
      </c>
      <c r="B239" s="1" t="s">
        <v>14</v>
      </c>
      <c r="C239" s="2">
        <v>45094.635196759256</v>
      </c>
      <c r="D239" s="2">
        <v>45094.650324074071</v>
      </c>
      <c r="E239" s="1" t="s">
        <v>15</v>
      </c>
      <c r="F239" s="1">
        <v>13008</v>
      </c>
      <c r="G239" s="1" t="s">
        <v>21</v>
      </c>
      <c r="H239" s="1">
        <v>21213</v>
      </c>
      <c r="I239" s="1">
        <v>41.881227000000003</v>
      </c>
      <c r="J239" s="1">
        <v>-87.624016999999995</v>
      </c>
      <c r="K239" s="1">
        <v>41.835030000000003</v>
      </c>
      <c r="L239" s="1">
        <v>-87.625578000000004</v>
      </c>
      <c r="M239" s="1" t="s">
        <v>31</v>
      </c>
      <c r="N239" s="5">
        <f t="shared" si="9"/>
        <v>1.5127314814890269E-2</v>
      </c>
      <c r="O239" s="1">
        <f t="shared" si="10"/>
        <v>7</v>
      </c>
      <c r="P239" s="1" t="str">
        <f t="shared" si="11"/>
        <v>Sat</v>
      </c>
    </row>
    <row r="240" spans="1:16" x14ac:dyDescent="0.25">
      <c r="A240" s="1" t="s">
        <v>277</v>
      </c>
      <c r="B240" s="1" t="s">
        <v>14</v>
      </c>
      <c r="C240" s="2">
        <v>45095.695798611108</v>
      </c>
      <c r="D240" s="2">
        <v>45095.699293981481</v>
      </c>
      <c r="E240" s="1" t="s">
        <v>24</v>
      </c>
      <c r="F240" s="1">
        <v>13263</v>
      </c>
      <c r="G240" s="1" t="s">
        <v>35</v>
      </c>
      <c r="H240" s="1">
        <v>13022</v>
      </c>
      <c r="I240" s="1">
        <v>41.884791999999997</v>
      </c>
      <c r="J240" s="1">
        <v>-87.619420000000005</v>
      </c>
      <c r="K240" s="1">
        <v>41.891944000000002</v>
      </c>
      <c r="L240" s="1">
        <v>-87.612162999999995</v>
      </c>
      <c r="M240" s="1" t="s">
        <v>17</v>
      </c>
      <c r="N240" s="5">
        <f t="shared" si="9"/>
        <v>3.4953703725477681E-3</v>
      </c>
      <c r="O240" s="1">
        <f t="shared" si="10"/>
        <v>1</v>
      </c>
      <c r="P240" s="1" t="str">
        <f t="shared" si="11"/>
        <v>Sun</v>
      </c>
    </row>
    <row r="241" spans="1:16" x14ac:dyDescent="0.25">
      <c r="A241" s="1" t="s">
        <v>278</v>
      </c>
      <c r="B241" s="1" t="s">
        <v>14</v>
      </c>
      <c r="C241" s="2">
        <v>45097.708738425928</v>
      </c>
      <c r="D241" s="2">
        <v>45097.735196759262</v>
      </c>
      <c r="E241" s="1" t="s">
        <v>21</v>
      </c>
      <c r="F241" s="1">
        <v>21213</v>
      </c>
      <c r="G241" s="1" t="s">
        <v>23</v>
      </c>
      <c r="H241" s="1">
        <v>13011</v>
      </c>
      <c r="I241" s="1">
        <v>41.835163999999999</v>
      </c>
      <c r="J241" s="1">
        <v>-87.625505000000004</v>
      </c>
      <c r="K241" s="1">
        <v>41.879387999999999</v>
      </c>
      <c r="L241" s="1">
        <v>-87.639533</v>
      </c>
      <c r="M241" s="1" t="s">
        <v>17</v>
      </c>
      <c r="N241" s="5">
        <f t="shared" si="9"/>
        <v>2.6458333333721384E-2</v>
      </c>
      <c r="O241" s="1">
        <f t="shared" si="10"/>
        <v>3</v>
      </c>
      <c r="P241" s="1" t="str">
        <f t="shared" si="11"/>
        <v>Tue</v>
      </c>
    </row>
    <row r="242" spans="1:16" x14ac:dyDescent="0.25">
      <c r="A242" s="1" t="s">
        <v>279</v>
      </c>
      <c r="B242" s="1" t="s">
        <v>14</v>
      </c>
      <c r="C242" s="2">
        <v>45099.413518518515</v>
      </c>
      <c r="D242" s="2">
        <v>45099.431180555555</v>
      </c>
      <c r="E242" s="1" t="s">
        <v>33</v>
      </c>
      <c r="F242" s="1" t="s">
        <v>34</v>
      </c>
      <c r="G242" s="1" t="s">
        <v>33</v>
      </c>
      <c r="H242" s="1" t="s">
        <v>34</v>
      </c>
      <c r="I242" s="1">
        <v>41.887377999999998</v>
      </c>
      <c r="J242" s="1">
        <v>-87.612436000000002</v>
      </c>
      <c r="K242" s="1">
        <v>41.887450000000001</v>
      </c>
      <c r="L242" s="1">
        <v>-87.613285000000005</v>
      </c>
      <c r="M242" s="1" t="s">
        <v>31</v>
      </c>
      <c r="N242" s="5">
        <f t="shared" si="9"/>
        <v>1.7662037040281575E-2</v>
      </c>
      <c r="O242" s="1">
        <f t="shared" si="10"/>
        <v>5</v>
      </c>
      <c r="P242" s="1" t="str">
        <f t="shared" si="11"/>
        <v>Thu</v>
      </c>
    </row>
    <row r="243" spans="1:16" x14ac:dyDescent="0.25">
      <c r="A243" s="1" t="s">
        <v>280</v>
      </c>
      <c r="B243" s="1" t="s">
        <v>37</v>
      </c>
      <c r="C243" s="2">
        <v>45101.282280092593</v>
      </c>
      <c r="D243" s="2">
        <v>45101.291562500002</v>
      </c>
      <c r="E243" s="1" t="s">
        <v>35</v>
      </c>
      <c r="F243" s="1">
        <v>13022</v>
      </c>
      <c r="G243" s="1" t="s">
        <v>33</v>
      </c>
      <c r="H243" s="1" t="s">
        <v>34</v>
      </c>
      <c r="I243" s="1">
        <v>41.892035</v>
      </c>
      <c r="J243" s="1">
        <v>-87.611878000000004</v>
      </c>
      <c r="K243" s="1">
        <v>41.887276</v>
      </c>
      <c r="L243" s="1">
        <v>-87.612650000000002</v>
      </c>
      <c r="M243" s="1" t="s">
        <v>31</v>
      </c>
      <c r="N243" s="5">
        <f t="shared" si="9"/>
        <v>9.2824074090458453E-3</v>
      </c>
      <c r="O243" s="1">
        <f t="shared" si="10"/>
        <v>7</v>
      </c>
      <c r="P243" s="1" t="str">
        <f t="shared" si="11"/>
        <v>Sat</v>
      </c>
    </row>
    <row r="244" spans="1:16" x14ac:dyDescent="0.25">
      <c r="A244" s="3" t="s">
        <v>281</v>
      </c>
      <c r="B244" s="1" t="s">
        <v>14</v>
      </c>
      <c r="C244" s="2">
        <v>45104.239629629628</v>
      </c>
      <c r="D244" s="2">
        <v>45104.248796296299</v>
      </c>
      <c r="E244" s="1" t="s">
        <v>23</v>
      </c>
      <c r="F244" s="1">
        <v>13011</v>
      </c>
      <c r="G244" s="1" t="s">
        <v>57</v>
      </c>
      <c r="H244" s="1" t="s">
        <v>58</v>
      </c>
      <c r="I244" s="1">
        <v>41.878807999999999</v>
      </c>
      <c r="J244" s="1">
        <v>-87.639702999999997</v>
      </c>
      <c r="K244" s="1">
        <v>41.911689000000003</v>
      </c>
      <c r="L244" s="1">
        <v>-87.634243999999995</v>
      </c>
      <c r="M244" s="1" t="s">
        <v>31</v>
      </c>
      <c r="N244" s="5">
        <f t="shared" si="9"/>
        <v>9.1666666703531519E-3</v>
      </c>
      <c r="O244" s="1">
        <f t="shared" si="10"/>
        <v>3</v>
      </c>
      <c r="P244" s="1" t="str">
        <f t="shared" si="11"/>
        <v>Tue</v>
      </c>
    </row>
    <row r="245" spans="1:16" x14ac:dyDescent="0.25">
      <c r="A245" s="1" t="s">
        <v>282</v>
      </c>
      <c r="B245" s="1" t="s">
        <v>14</v>
      </c>
      <c r="C245" s="2">
        <v>45104.339629629627</v>
      </c>
      <c r="D245" s="2">
        <v>45104.342905092592</v>
      </c>
      <c r="E245" s="1" t="s">
        <v>33</v>
      </c>
      <c r="F245" s="1" t="s">
        <v>34</v>
      </c>
      <c r="G245" s="1" t="s">
        <v>33</v>
      </c>
      <c r="H245" s="1" t="s">
        <v>34</v>
      </c>
      <c r="I245" s="1">
        <v>41.886564</v>
      </c>
      <c r="J245" s="1">
        <v>-87.613174000000001</v>
      </c>
      <c r="K245" s="1">
        <v>41.886479000000001</v>
      </c>
      <c r="L245" s="1">
        <v>-87.613196000000002</v>
      </c>
      <c r="M245" s="1" t="s">
        <v>17</v>
      </c>
      <c r="N245" s="5">
        <f t="shared" si="9"/>
        <v>3.275462964666076E-3</v>
      </c>
      <c r="O245" s="1">
        <f t="shared" si="10"/>
        <v>3</v>
      </c>
      <c r="P245" s="1" t="str">
        <f t="shared" si="11"/>
        <v>Tue</v>
      </c>
    </row>
    <row r="246" spans="1:16" x14ac:dyDescent="0.25">
      <c r="A246" s="1" t="s">
        <v>283</v>
      </c>
      <c r="B246" s="1" t="s">
        <v>37</v>
      </c>
      <c r="C246" s="2">
        <v>45104.619270833333</v>
      </c>
      <c r="D246" s="2">
        <v>45104.636203703703</v>
      </c>
      <c r="E246" s="1" t="s">
        <v>27</v>
      </c>
      <c r="F246" s="1" t="s">
        <v>28</v>
      </c>
      <c r="G246" s="1" t="s">
        <v>27</v>
      </c>
      <c r="H246" s="1" t="s">
        <v>28</v>
      </c>
      <c r="I246" s="1">
        <v>41.888796999999997</v>
      </c>
      <c r="J246" s="1">
        <v>-87.638088999999994</v>
      </c>
      <c r="K246" s="1">
        <v>41.889398</v>
      </c>
      <c r="L246" s="1">
        <v>-87.638604999999998</v>
      </c>
      <c r="M246" s="1" t="s">
        <v>17</v>
      </c>
      <c r="N246" s="5">
        <f t="shared" si="9"/>
        <v>1.69328703705105E-2</v>
      </c>
      <c r="O246" s="1">
        <f t="shared" si="10"/>
        <v>3</v>
      </c>
      <c r="P246" s="1" t="str">
        <f t="shared" si="11"/>
        <v>Tue</v>
      </c>
    </row>
    <row r="247" spans="1:16" x14ac:dyDescent="0.25">
      <c r="A247" s="1" t="s">
        <v>284</v>
      </c>
      <c r="B247" s="1" t="s">
        <v>37</v>
      </c>
      <c r="C247" s="2">
        <v>45106.009328703702</v>
      </c>
      <c r="D247" s="2">
        <v>45106.016851851855</v>
      </c>
      <c r="E247" s="1" t="s">
        <v>27</v>
      </c>
      <c r="F247" s="1" t="s">
        <v>28</v>
      </c>
      <c r="G247" s="1" t="s">
        <v>15</v>
      </c>
      <c r="H247" s="1">
        <v>13008</v>
      </c>
      <c r="I247" s="1">
        <v>41.889484000000003</v>
      </c>
      <c r="J247" s="1">
        <v>-87.638530000000003</v>
      </c>
      <c r="K247" s="1">
        <v>41.881528000000003</v>
      </c>
      <c r="L247" s="1">
        <v>-87.624525000000006</v>
      </c>
      <c r="M247" s="1" t="s">
        <v>17</v>
      </c>
      <c r="N247" s="5">
        <f t="shared" si="9"/>
        <v>7.5231481532682665E-3</v>
      </c>
      <c r="O247" s="1">
        <f t="shared" si="10"/>
        <v>5</v>
      </c>
      <c r="P247" s="1" t="str">
        <f t="shared" si="11"/>
        <v>Thu</v>
      </c>
    </row>
    <row r="248" spans="1:16" x14ac:dyDescent="0.25">
      <c r="A248" s="1" t="s">
        <v>285</v>
      </c>
      <c r="B248" s="1" t="s">
        <v>37</v>
      </c>
      <c r="C248" s="2">
        <v>45107.59516203704</v>
      </c>
      <c r="D248" s="2">
        <v>45107.599490740744</v>
      </c>
      <c r="E248" s="1" t="s">
        <v>43</v>
      </c>
      <c r="F248" s="1" t="s">
        <v>44</v>
      </c>
      <c r="G248" s="1" t="s">
        <v>43</v>
      </c>
      <c r="H248" s="1" t="s">
        <v>44</v>
      </c>
      <c r="I248" s="1">
        <v>41.903320000000001</v>
      </c>
      <c r="J248" s="1">
        <v>-87.634217000000007</v>
      </c>
      <c r="K248" s="1">
        <v>41.902970000000003</v>
      </c>
      <c r="L248" s="1">
        <v>-87.634265999999997</v>
      </c>
      <c r="M248" s="1" t="s">
        <v>17</v>
      </c>
      <c r="N248" s="5">
        <f t="shared" si="9"/>
        <v>4.3287037042318843E-3</v>
      </c>
      <c r="O248" s="1">
        <f t="shared" si="10"/>
        <v>6</v>
      </c>
      <c r="P248" s="1" t="str">
        <f t="shared" si="11"/>
        <v>Fri</v>
      </c>
    </row>
    <row r="249" spans="1:16" x14ac:dyDescent="0.25">
      <c r="A249" s="1" t="s">
        <v>286</v>
      </c>
      <c r="B249" s="1" t="s">
        <v>14</v>
      </c>
      <c r="C249" s="2">
        <v>45107.634201388886</v>
      </c>
      <c r="D249" s="2">
        <v>45107.655972222223</v>
      </c>
      <c r="E249" s="1" t="s">
        <v>33</v>
      </c>
      <c r="F249" s="1" t="s">
        <v>34</v>
      </c>
      <c r="G249" s="1" t="s">
        <v>23</v>
      </c>
      <c r="H249" s="1">
        <v>13011</v>
      </c>
      <c r="I249" s="1">
        <v>41.887104999999998</v>
      </c>
      <c r="J249" s="1">
        <v>-87.613046999999995</v>
      </c>
      <c r="K249" s="1">
        <v>41.878793999999999</v>
      </c>
      <c r="L249" s="1">
        <v>-87.639948000000004</v>
      </c>
      <c r="M249" s="1" t="s">
        <v>31</v>
      </c>
      <c r="N249" s="5">
        <f t="shared" si="9"/>
        <v>2.1770833336631767E-2</v>
      </c>
      <c r="O249" s="1">
        <f t="shared" si="10"/>
        <v>6</v>
      </c>
      <c r="P249" s="1" t="str">
        <f t="shared" si="11"/>
        <v>Fri</v>
      </c>
    </row>
    <row r="250" spans="1:16" x14ac:dyDescent="0.25">
      <c r="A250" s="1" t="s">
        <v>287</v>
      </c>
      <c r="B250" s="1" t="s">
        <v>14</v>
      </c>
      <c r="C250" s="2">
        <v>45108.530497685184</v>
      </c>
      <c r="D250" s="2">
        <v>45108.537129629629</v>
      </c>
      <c r="E250" s="1" t="s">
        <v>24</v>
      </c>
      <c r="F250" s="1">
        <v>13263</v>
      </c>
      <c r="G250" s="1" t="s">
        <v>24</v>
      </c>
      <c r="H250" s="1">
        <v>13263</v>
      </c>
      <c r="I250" s="1">
        <v>41.884672999999999</v>
      </c>
      <c r="J250" s="1">
        <v>-87.619533000000004</v>
      </c>
      <c r="K250" s="1">
        <v>41.885041000000001</v>
      </c>
      <c r="L250" s="1">
        <v>-87.619922000000003</v>
      </c>
      <c r="M250" s="1" t="s">
        <v>31</v>
      </c>
      <c r="N250" s="5">
        <f t="shared" si="9"/>
        <v>6.6319444449618459E-3</v>
      </c>
      <c r="O250" s="1">
        <f t="shared" si="10"/>
        <v>7</v>
      </c>
      <c r="P250" s="1" t="str">
        <f t="shared" si="11"/>
        <v>Sat</v>
      </c>
    </row>
    <row r="251" spans="1:16" x14ac:dyDescent="0.25">
      <c r="A251" s="1" t="s">
        <v>288</v>
      </c>
      <c r="B251" s="1" t="s">
        <v>26</v>
      </c>
      <c r="C251" s="2">
        <v>45108.658483796295</v>
      </c>
      <c r="D251" s="2">
        <v>45108.668749999997</v>
      </c>
      <c r="E251" s="1" t="s">
        <v>33</v>
      </c>
      <c r="F251" s="1" t="s">
        <v>34</v>
      </c>
      <c r="G251" s="1" t="s">
        <v>33</v>
      </c>
      <c r="H251" s="1" t="s">
        <v>34</v>
      </c>
      <c r="I251" s="1">
        <v>41.886561999999998</v>
      </c>
      <c r="J251" s="1">
        <v>-87.613105000000004</v>
      </c>
      <c r="K251" s="1">
        <v>41.886502999999998</v>
      </c>
      <c r="L251" s="1">
        <v>-87.613131999999993</v>
      </c>
      <c r="M251" s="1" t="s">
        <v>31</v>
      </c>
      <c r="N251" s="5">
        <f t="shared" si="9"/>
        <v>1.0266203702485655E-2</v>
      </c>
      <c r="O251" s="1">
        <f t="shared" si="10"/>
        <v>7</v>
      </c>
      <c r="P251" s="1" t="str">
        <f t="shared" si="11"/>
        <v>Sat</v>
      </c>
    </row>
    <row r="252" spans="1:16" x14ac:dyDescent="0.25">
      <c r="A252" s="3" t="s">
        <v>289</v>
      </c>
      <c r="B252" s="1" t="s">
        <v>37</v>
      </c>
      <c r="C252" s="2">
        <v>45108.953206018516</v>
      </c>
      <c r="D252" s="2">
        <v>45108.95689814815</v>
      </c>
      <c r="E252" s="1" t="s">
        <v>23</v>
      </c>
      <c r="F252" s="1">
        <v>13011</v>
      </c>
      <c r="G252" s="1" t="s">
        <v>27</v>
      </c>
      <c r="H252" s="1" t="s">
        <v>28</v>
      </c>
      <c r="I252" s="1">
        <v>41.879556000000001</v>
      </c>
      <c r="J252" s="1">
        <v>-87.63973</v>
      </c>
      <c r="K252" s="1">
        <v>41.888683</v>
      </c>
      <c r="L252" s="1">
        <v>-87.638540000000006</v>
      </c>
      <c r="M252" s="1" t="s">
        <v>17</v>
      </c>
      <c r="N252" s="5">
        <f t="shared" si="9"/>
        <v>3.6921296341461129E-3</v>
      </c>
      <c r="O252" s="1">
        <f t="shared" si="10"/>
        <v>7</v>
      </c>
      <c r="P252" s="1" t="str">
        <f t="shared" si="11"/>
        <v>Sat</v>
      </c>
    </row>
    <row r="253" spans="1:16" x14ac:dyDescent="0.25">
      <c r="A253" s="1" t="s">
        <v>290</v>
      </c>
      <c r="B253" s="1" t="s">
        <v>14</v>
      </c>
      <c r="C253" s="2">
        <v>45109.411736111113</v>
      </c>
      <c r="D253" s="2">
        <v>45109.417187500003</v>
      </c>
      <c r="E253" s="1" t="s">
        <v>35</v>
      </c>
      <c r="F253" s="1">
        <v>13022</v>
      </c>
      <c r="G253" s="1" t="s">
        <v>21</v>
      </c>
      <c r="H253" s="1">
        <v>21213</v>
      </c>
      <c r="I253" s="1">
        <v>41.892544999999998</v>
      </c>
      <c r="J253" s="1">
        <v>-87.611808999999994</v>
      </c>
      <c r="K253" s="1">
        <v>41.834533</v>
      </c>
      <c r="L253" s="1">
        <v>-87.626140000000007</v>
      </c>
      <c r="M253" s="1" t="s">
        <v>17</v>
      </c>
      <c r="N253" s="5">
        <f t="shared" si="9"/>
        <v>5.4513888899236917E-3</v>
      </c>
      <c r="O253" s="1">
        <f t="shared" si="10"/>
        <v>1</v>
      </c>
      <c r="P253" s="1" t="str">
        <f t="shared" si="11"/>
        <v>Sun</v>
      </c>
    </row>
    <row r="254" spans="1:16" x14ac:dyDescent="0.25">
      <c r="A254" s="1" t="s">
        <v>291</v>
      </c>
      <c r="B254" s="1" t="s">
        <v>14</v>
      </c>
      <c r="C254" s="2">
        <v>45114.561469907407</v>
      </c>
      <c r="D254" s="2">
        <v>45114.565775462965</v>
      </c>
      <c r="E254" s="1" t="s">
        <v>41</v>
      </c>
      <c r="F254" s="1" t="s">
        <v>42</v>
      </c>
      <c r="G254" s="1" t="s">
        <v>41</v>
      </c>
      <c r="H254" s="1" t="s">
        <v>42</v>
      </c>
      <c r="I254" s="1">
        <v>41.903191999999997</v>
      </c>
      <c r="J254" s="1">
        <v>-87.631507999999997</v>
      </c>
      <c r="K254" s="1">
        <v>41.902788999999999</v>
      </c>
      <c r="L254" s="1">
        <v>-87.630934999999994</v>
      </c>
      <c r="M254" s="1" t="s">
        <v>17</v>
      </c>
      <c r="N254" s="5">
        <f t="shared" si="9"/>
        <v>4.3055555579485372E-3</v>
      </c>
      <c r="O254" s="1">
        <f t="shared" si="10"/>
        <v>6</v>
      </c>
      <c r="P254" s="1" t="str">
        <f t="shared" si="11"/>
        <v>Fri</v>
      </c>
    </row>
    <row r="255" spans="1:16" x14ac:dyDescent="0.25">
      <c r="A255" s="1" t="s">
        <v>292</v>
      </c>
      <c r="B255" s="1" t="s">
        <v>37</v>
      </c>
      <c r="C255" s="2">
        <v>45114.721180555556</v>
      </c>
      <c r="D255" s="2">
        <v>45114.734247685185</v>
      </c>
      <c r="E255" s="1" t="s">
        <v>16</v>
      </c>
      <c r="F255" s="1">
        <v>13045</v>
      </c>
      <c r="G255" s="1" t="s">
        <v>16</v>
      </c>
      <c r="H255" s="1">
        <v>13045</v>
      </c>
      <c r="I255" s="1">
        <v>41.893500000000003</v>
      </c>
      <c r="J255" s="1">
        <v>-87.629187000000002</v>
      </c>
      <c r="K255" s="1">
        <v>41.893940000000001</v>
      </c>
      <c r="L255" s="1">
        <v>-87.629683999999997</v>
      </c>
      <c r="M255" s="1" t="s">
        <v>17</v>
      </c>
      <c r="N255" s="5">
        <f t="shared" si="9"/>
        <v>1.3067129628325347E-2</v>
      </c>
      <c r="O255" s="1">
        <f t="shared" si="10"/>
        <v>6</v>
      </c>
      <c r="P255" s="1" t="str">
        <f t="shared" si="11"/>
        <v>Fri</v>
      </c>
    </row>
    <row r="256" spans="1:16" x14ac:dyDescent="0.25">
      <c r="A256" s="1" t="s">
        <v>293</v>
      </c>
      <c r="B256" s="1" t="s">
        <v>14</v>
      </c>
      <c r="C256" s="2">
        <v>45115.08384259259</v>
      </c>
      <c r="D256" s="2">
        <v>45115.087939814817</v>
      </c>
      <c r="E256" s="1" t="s">
        <v>57</v>
      </c>
      <c r="F256" s="1" t="s">
        <v>58</v>
      </c>
      <c r="G256" s="1" t="s">
        <v>24</v>
      </c>
      <c r="H256" s="1">
        <v>13263</v>
      </c>
      <c r="I256" s="1">
        <v>41.912356000000003</v>
      </c>
      <c r="J256" s="1">
        <v>-87.635052000000002</v>
      </c>
      <c r="K256" s="1">
        <v>41.884453000000001</v>
      </c>
      <c r="L256" s="1">
        <v>-87.619318000000007</v>
      </c>
      <c r="M256" s="1" t="s">
        <v>17</v>
      </c>
      <c r="N256" s="5">
        <f t="shared" si="9"/>
        <v>4.0972222268464975E-3</v>
      </c>
      <c r="O256" s="1">
        <f t="shared" si="10"/>
        <v>7</v>
      </c>
      <c r="P256" s="1" t="str">
        <f t="shared" si="11"/>
        <v>Sat</v>
      </c>
    </row>
    <row r="257" spans="1:16" x14ac:dyDescent="0.25">
      <c r="A257" s="1" t="s">
        <v>294</v>
      </c>
      <c r="B257" s="1" t="s">
        <v>37</v>
      </c>
      <c r="C257" s="2">
        <v>45115.967662037037</v>
      </c>
      <c r="D257" s="2">
        <v>45115.979664351849</v>
      </c>
      <c r="E257" s="1" t="s">
        <v>30</v>
      </c>
      <c r="F257" s="1">
        <v>13137</v>
      </c>
      <c r="G257" s="1" t="s">
        <v>41</v>
      </c>
      <c r="H257" s="1" t="s">
        <v>42</v>
      </c>
      <c r="I257" s="1">
        <v>41.937714</v>
      </c>
      <c r="J257" s="1">
        <v>-87.644543999999996</v>
      </c>
      <c r="K257" s="1">
        <v>41.903117000000002</v>
      </c>
      <c r="L257" s="1">
        <v>-87.630806000000007</v>
      </c>
      <c r="M257" s="1" t="s">
        <v>17</v>
      </c>
      <c r="N257" s="5">
        <f t="shared" si="9"/>
        <v>1.2002314811979886E-2</v>
      </c>
      <c r="O257" s="1">
        <f t="shared" si="10"/>
        <v>7</v>
      </c>
      <c r="P257" s="1" t="str">
        <f t="shared" si="11"/>
        <v>Sat</v>
      </c>
    </row>
    <row r="258" spans="1:16" x14ac:dyDescent="0.25">
      <c r="A258" s="1" t="s">
        <v>295</v>
      </c>
      <c r="B258" s="1" t="s">
        <v>37</v>
      </c>
      <c r="C258" s="2">
        <v>45116.720972222225</v>
      </c>
      <c r="D258" s="2">
        <v>45116.726793981485</v>
      </c>
      <c r="E258" s="1" t="s">
        <v>30</v>
      </c>
      <c r="F258" s="1">
        <v>13137</v>
      </c>
      <c r="G258" s="1" t="s">
        <v>24</v>
      </c>
      <c r="H258" s="1">
        <v>13263</v>
      </c>
      <c r="I258" s="1">
        <v>41.937994000000003</v>
      </c>
      <c r="J258" s="1">
        <v>-87.644375999999994</v>
      </c>
      <c r="K258" s="1">
        <v>41.884284000000001</v>
      </c>
      <c r="L258" s="1">
        <v>-87.619765000000001</v>
      </c>
      <c r="M258" s="1" t="s">
        <v>17</v>
      </c>
      <c r="N258" s="5">
        <f t="shared" si="9"/>
        <v>5.8217592595610768E-3</v>
      </c>
      <c r="O258" s="1">
        <f t="shared" si="10"/>
        <v>1</v>
      </c>
      <c r="P258" s="1" t="str">
        <f t="shared" si="11"/>
        <v>Sun</v>
      </c>
    </row>
    <row r="259" spans="1:16" x14ac:dyDescent="0.25">
      <c r="A259" s="1" t="s">
        <v>296</v>
      </c>
      <c r="B259" s="1" t="s">
        <v>37</v>
      </c>
      <c r="C259" s="2">
        <v>45117.724016203705</v>
      </c>
      <c r="D259" s="2">
        <v>45117.788171296299</v>
      </c>
      <c r="E259" s="1" t="s">
        <v>33</v>
      </c>
      <c r="F259" s="1" t="s">
        <v>34</v>
      </c>
      <c r="G259" s="1" t="s">
        <v>57</v>
      </c>
      <c r="H259" s="1" t="s">
        <v>58</v>
      </c>
      <c r="I259" s="1">
        <v>41.886938000000001</v>
      </c>
      <c r="J259" s="1">
        <v>-87.612392</v>
      </c>
      <c r="K259" s="1">
        <v>41.912328000000002</v>
      </c>
      <c r="L259" s="1">
        <v>-87.634427000000002</v>
      </c>
      <c r="M259" s="1" t="s">
        <v>31</v>
      </c>
      <c r="N259" s="5">
        <f t="shared" ref="N259:N322" si="12">D259-C259</f>
        <v>6.4155092593864538E-2</v>
      </c>
      <c r="O259" s="1">
        <f t="shared" ref="O259:O322" si="13">WEEKDAY(C259,1)</f>
        <v>2</v>
      </c>
      <c r="P259" s="1" t="str">
        <f t="shared" ref="P259:P322" si="14">CHOOSE(O259,"Sun","Mon","Tue","Wed","Thu","Fri","Sat")</f>
        <v>Mon</v>
      </c>
    </row>
    <row r="260" spans="1:16" x14ac:dyDescent="0.25">
      <c r="A260" s="1" t="s">
        <v>297</v>
      </c>
      <c r="B260" s="1" t="s">
        <v>37</v>
      </c>
      <c r="C260" s="2">
        <v>45117.815057870372</v>
      </c>
      <c r="D260" s="2">
        <v>45117.831909722219</v>
      </c>
      <c r="E260" s="1" t="s">
        <v>19</v>
      </c>
      <c r="F260" s="1" t="s">
        <v>20</v>
      </c>
      <c r="G260" s="1" t="s">
        <v>47</v>
      </c>
      <c r="H260" s="1" t="s">
        <v>48</v>
      </c>
      <c r="I260" s="1">
        <v>41.926571000000003</v>
      </c>
      <c r="J260" s="1">
        <v>-87.631175999999996</v>
      </c>
      <c r="K260" s="1">
        <v>41.881793999999999</v>
      </c>
      <c r="L260" s="1">
        <v>-87.641008999999997</v>
      </c>
      <c r="M260" s="1" t="s">
        <v>17</v>
      </c>
      <c r="N260" s="5">
        <f t="shared" si="12"/>
        <v>1.6851851847604848E-2</v>
      </c>
      <c r="O260" s="1">
        <f t="shared" si="13"/>
        <v>2</v>
      </c>
      <c r="P260" s="1" t="str">
        <f t="shared" si="14"/>
        <v>Mon</v>
      </c>
    </row>
    <row r="261" spans="1:16" x14ac:dyDescent="0.25">
      <c r="A261" s="1" t="s">
        <v>298</v>
      </c>
      <c r="B261" s="1" t="s">
        <v>37</v>
      </c>
      <c r="C261" s="2">
        <v>45118.863576388889</v>
      </c>
      <c r="D261" s="2">
        <v>45118.875069444446</v>
      </c>
      <c r="E261" s="1" t="s">
        <v>33</v>
      </c>
      <c r="F261" s="1" t="s">
        <v>34</v>
      </c>
      <c r="G261" s="1" t="s">
        <v>21</v>
      </c>
      <c r="H261" s="1">
        <v>21213</v>
      </c>
      <c r="I261" s="1">
        <v>41.886566999999999</v>
      </c>
      <c r="J261" s="1">
        <v>-87.612587000000005</v>
      </c>
      <c r="K261" s="1">
        <v>41.834781</v>
      </c>
      <c r="L261" s="1">
        <v>-87.625861999999998</v>
      </c>
      <c r="M261" s="1" t="s">
        <v>31</v>
      </c>
      <c r="N261" s="5">
        <f t="shared" si="12"/>
        <v>1.1493055557366461E-2</v>
      </c>
      <c r="O261" s="1">
        <f t="shared" si="13"/>
        <v>3</v>
      </c>
      <c r="P261" s="1" t="str">
        <f t="shared" si="14"/>
        <v>Tue</v>
      </c>
    </row>
    <row r="262" spans="1:16" x14ac:dyDescent="0.25">
      <c r="A262" s="1" t="s">
        <v>299</v>
      </c>
      <c r="B262" s="1" t="s">
        <v>14</v>
      </c>
      <c r="C262" s="2">
        <v>45118.864166666666</v>
      </c>
      <c r="D262" s="2">
        <v>45118.867719907408</v>
      </c>
      <c r="E262" s="1" t="s">
        <v>21</v>
      </c>
      <c r="F262" s="1">
        <v>21213</v>
      </c>
      <c r="G262" s="1" t="s">
        <v>35</v>
      </c>
      <c r="H262" s="1">
        <v>13022</v>
      </c>
      <c r="I262" s="1">
        <v>41.834685</v>
      </c>
      <c r="J262" s="1">
        <v>-87.625444000000002</v>
      </c>
      <c r="K262" s="1">
        <v>41.892308</v>
      </c>
      <c r="L262" s="1">
        <v>-87.612075000000004</v>
      </c>
      <c r="M262" s="1" t="s">
        <v>17</v>
      </c>
      <c r="N262" s="5">
        <f t="shared" si="12"/>
        <v>3.5532407418941148E-3</v>
      </c>
      <c r="O262" s="1">
        <f t="shared" si="13"/>
        <v>3</v>
      </c>
      <c r="P262" s="1" t="str">
        <f t="shared" si="14"/>
        <v>Tue</v>
      </c>
    </row>
    <row r="263" spans="1:16" x14ac:dyDescent="0.25">
      <c r="A263" s="1" t="s">
        <v>300</v>
      </c>
      <c r="B263" s="1" t="s">
        <v>14</v>
      </c>
      <c r="C263" s="2">
        <v>45121.340995370374</v>
      </c>
      <c r="D263" s="2">
        <v>45121.36446759259</v>
      </c>
      <c r="E263" s="1" t="s">
        <v>19</v>
      </c>
      <c r="F263" s="1" t="s">
        <v>20</v>
      </c>
      <c r="G263" s="1" t="s">
        <v>33</v>
      </c>
      <c r="H263" s="1" t="s">
        <v>34</v>
      </c>
      <c r="I263" s="1">
        <v>41.926352000000001</v>
      </c>
      <c r="J263" s="1">
        <v>-87.630904999999998</v>
      </c>
      <c r="K263" s="1">
        <v>41.886752000000001</v>
      </c>
      <c r="L263" s="1">
        <v>-87.612544</v>
      </c>
      <c r="M263" s="1" t="s">
        <v>31</v>
      </c>
      <c r="N263" s="5">
        <f t="shared" si="12"/>
        <v>2.3472222215787042E-2</v>
      </c>
      <c r="O263" s="1">
        <f t="shared" si="13"/>
        <v>6</v>
      </c>
      <c r="P263" s="1" t="str">
        <f t="shared" si="14"/>
        <v>Fri</v>
      </c>
    </row>
    <row r="264" spans="1:16" x14ac:dyDescent="0.25">
      <c r="A264" s="1" t="s">
        <v>301</v>
      </c>
      <c r="B264" s="1" t="s">
        <v>14</v>
      </c>
      <c r="C264" s="2">
        <v>45124.387488425928</v>
      </c>
      <c r="D264" s="2">
        <v>45124.393831018519</v>
      </c>
      <c r="E264" s="1" t="s">
        <v>16</v>
      </c>
      <c r="F264" s="1">
        <v>13045</v>
      </c>
      <c r="G264" s="1" t="s">
        <v>43</v>
      </c>
      <c r="H264" s="1" t="s">
        <v>44</v>
      </c>
      <c r="I264" s="1">
        <v>41.894058000000001</v>
      </c>
      <c r="J264" s="1">
        <v>-87.628838000000002</v>
      </c>
      <c r="K264" s="1">
        <v>41.902887</v>
      </c>
      <c r="L264" s="1">
        <v>-87.634124</v>
      </c>
      <c r="M264" s="1" t="s">
        <v>17</v>
      </c>
      <c r="N264" s="5">
        <f t="shared" si="12"/>
        <v>6.3425925909541547E-3</v>
      </c>
      <c r="O264" s="1">
        <f t="shared" si="13"/>
        <v>2</v>
      </c>
      <c r="P264" s="1" t="str">
        <f t="shared" si="14"/>
        <v>Mon</v>
      </c>
    </row>
    <row r="265" spans="1:16" x14ac:dyDescent="0.25">
      <c r="A265" s="1" t="s">
        <v>302</v>
      </c>
      <c r="B265" s="1" t="s">
        <v>37</v>
      </c>
      <c r="C265" s="2">
        <v>45124.896516203706</v>
      </c>
      <c r="D265" s="2">
        <v>45124.91574074074</v>
      </c>
      <c r="E265" s="1" t="s">
        <v>23</v>
      </c>
      <c r="F265" s="1">
        <v>13011</v>
      </c>
      <c r="G265" s="1" t="s">
        <v>33</v>
      </c>
      <c r="H265" s="1" t="s">
        <v>34</v>
      </c>
      <c r="I265" s="1">
        <v>41.879004000000002</v>
      </c>
      <c r="J265" s="1">
        <v>-87.639493999999999</v>
      </c>
      <c r="K265" s="1">
        <v>41.886629999999997</v>
      </c>
      <c r="L265" s="1">
        <v>-87.612685999999997</v>
      </c>
      <c r="M265" s="1" t="s">
        <v>31</v>
      </c>
      <c r="N265" s="5">
        <f t="shared" si="12"/>
        <v>1.9224537034460809E-2</v>
      </c>
      <c r="O265" s="1">
        <f t="shared" si="13"/>
        <v>2</v>
      </c>
      <c r="P265" s="1" t="str">
        <f t="shared" si="14"/>
        <v>Mon</v>
      </c>
    </row>
    <row r="266" spans="1:16" x14ac:dyDescent="0.25">
      <c r="A266" s="1" t="s">
        <v>303</v>
      </c>
      <c r="B266" s="1" t="s">
        <v>14</v>
      </c>
      <c r="C266" s="2">
        <v>45125.083657407406</v>
      </c>
      <c r="D266" s="2">
        <v>45125.100694444445</v>
      </c>
      <c r="E266" s="1" t="s">
        <v>35</v>
      </c>
      <c r="F266" s="1">
        <v>13022</v>
      </c>
      <c r="G266" s="1" t="s">
        <v>16</v>
      </c>
      <c r="H266" s="1">
        <v>13045</v>
      </c>
      <c r="I266" s="1">
        <v>41.892356999999997</v>
      </c>
      <c r="J266" s="1">
        <v>-87.612459999999999</v>
      </c>
      <c r="K266" s="1">
        <v>41.893647000000001</v>
      </c>
      <c r="L266" s="1">
        <v>-87.629378000000003</v>
      </c>
      <c r="M266" s="1" t="s">
        <v>17</v>
      </c>
      <c r="N266" s="5">
        <f t="shared" si="12"/>
        <v>1.7037037039699499E-2</v>
      </c>
      <c r="O266" s="1">
        <f t="shared" si="13"/>
        <v>3</v>
      </c>
      <c r="P266" s="1" t="str">
        <f t="shared" si="14"/>
        <v>Tue</v>
      </c>
    </row>
    <row r="267" spans="1:16" x14ac:dyDescent="0.25">
      <c r="A267" s="1" t="s">
        <v>304</v>
      </c>
      <c r="B267" s="1" t="s">
        <v>14</v>
      </c>
      <c r="C267" s="2">
        <v>45125.607002314813</v>
      </c>
      <c r="D267" s="2">
        <v>45125.619803240741</v>
      </c>
      <c r="E267" s="1" t="s">
        <v>24</v>
      </c>
      <c r="F267" s="1">
        <v>13263</v>
      </c>
      <c r="G267" s="1" t="s">
        <v>33</v>
      </c>
      <c r="H267" s="1" t="s">
        <v>34</v>
      </c>
      <c r="I267" s="1">
        <v>41.885128000000002</v>
      </c>
      <c r="J267" s="1">
        <v>-87.619393000000002</v>
      </c>
      <c r="K267" s="1">
        <v>41.886915000000002</v>
      </c>
      <c r="L267" s="1">
        <v>-87.613274000000004</v>
      </c>
      <c r="M267" s="1" t="s">
        <v>17</v>
      </c>
      <c r="N267" s="5">
        <f t="shared" si="12"/>
        <v>1.280092592787696E-2</v>
      </c>
      <c r="O267" s="1">
        <f t="shared" si="13"/>
        <v>3</v>
      </c>
      <c r="P267" s="1" t="str">
        <f t="shared" si="14"/>
        <v>Tue</v>
      </c>
    </row>
    <row r="268" spans="1:16" x14ac:dyDescent="0.25">
      <c r="A268" s="1" t="s">
        <v>305</v>
      </c>
      <c r="B268" s="1" t="s">
        <v>37</v>
      </c>
      <c r="C268" s="2">
        <v>45126.504247685189</v>
      </c>
      <c r="D268" s="2">
        <v>45126.510555555556</v>
      </c>
      <c r="E268" s="1" t="s">
        <v>24</v>
      </c>
      <c r="F268" s="1">
        <v>13263</v>
      </c>
      <c r="G268" s="1" t="s">
        <v>16</v>
      </c>
      <c r="H268" s="1">
        <v>13045</v>
      </c>
      <c r="I268" s="1">
        <v>41.884594999999997</v>
      </c>
      <c r="J268" s="1">
        <v>-87.619934000000001</v>
      </c>
      <c r="K268" s="1">
        <v>41.894049000000003</v>
      </c>
      <c r="L268" s="1">
        <v>-87.628973000000002</v>
      </c>
      <c r="M268" s="1" t="s">
        <v>17</v>
      </c>
      <c r="N268" s="5">
        <f t="shared" si="12"/>
        <v>6.3078703678911552E-3</v>
      </c>
      <c r="O268" s="1">
        <f t="shared" si="13"/>
        <v>4</v>
      </c>
      <c r="P268" s="1" t="str">
        <f t="shared" si="14"/>
        <v>Wed</v>
      </c>
    </row>
    <row r="269" spans="1:16" x14ac:dyDescent="0.25">
      <c r="A269" s="1" t="s">
        <v>306</v>
      </c>
      <c r="B269" s="1" t="s">
        <v>14</v>
      </c>
      <c r="C269" s="2">
        <v>45127.506909722222</v>
      </c>
      <c r="D269" s="2">
        <v>45127.522696759261</v>
      </c>
      <c r="E269" s="1" t="s">
        <v>24</v>
      </c>
      <c r="F269" s="1">
        <v>13263</v>
      </c>
      <c r="G269" s="1" t="s">
        <v>16</v>
      </c>
      <c r="H269" s="1">
        <v>13045</v>
      </c>
      <c r="I269" s="1">
        <v>41.884987000000002</v>
      </c>
      <c r="J269" s="1">
        <v>-87.620006000000004</v>
      </c>
      <c r="K269" s="1">
        <v>41.893698999999998</v>
      </c>
      <c r="L269" s="1">
        <v>-87.629104999999996</v>
      </c>
      <c r="M269" s="1" t="s">
        <v>17</v>
      </c>
      <c r="N269" s="5">
        <f t="shared" si="12"/>
        <v>1.5787037038535345E-2</v>
      </c>
      <c r="O269" s="1">
        <f t="shared" si="13"/>
        <v>5</v>
      </c>
      <c r="P269" s="1" t="str">
        <f t="shared" si="14"/>
        <v>Thu</v>
      </c>
    </row>
    <row r="270" spans="1:16" x14ac:dyDescent="0.25">
      <c r="A270" s="1" t="s">
        <v>307</v>
      </c>
      <c r="B270" s="1" t="s">
        <v>14</v>
      </c>
      <c r="C270" s="2">
        <v>45127.695497685185</v>
      </c>
      <c r="D270" s="2">
        <v>45127.712013888886</v>
      </c>
      <c r="E270" s="1" t="s">
        <v>15</v>
      </c>
      <c r="F270" s="1">
        <v>13008</v>
      </c>
      <c r="G270" s="1" t="s">
        <v>33</v>
      </c>
      <c r="H270" s="1" t="s">
        <v>34</v>
      </c>
      <c r="I270" s="1">
        <v>41.880958</v>
      </c>
      <c r="J270" s="1">
        <v>-87.624036000000004</v>
      </c>
      <c r="K270" s="1">
        <v>41.886651000000001</v>
      </c>
      <c r="L270" s="1">
        <v>-87.613016999999999</v>
      </c>
      <c r="M270" s="1" t="s">
        <v>17</v>
      </c>
      <c r="N270" s="5">
        <f t="shared" si="12"/>
        <v>1.6516203701030463E-2</v>
      </c>
      <c r="O270" s="1">
        <f t="shared" si="13"/>
        <v>5</v>
      </c>
      <c r="P270" s="1" t="str">
        <f t="shared" si="14"/>
        <v>Thu</v>
      </c>
    </row>
    <row r="271" spans="1:16" x14ac:dyDescent="0.25">
      <c r="A271" s="1" t="s">
        <v>308</v>
      </c>
      <c r="B271" s="1" t="s">
        <v>37</v>
      </c>
      <c r="C271" s="2">
        <v>45128.269143518519</v>
      </c>
      <c r="D271" s="2">
        <v>45128.286770833336</v>
      </c>
      <c r="E271" s="1" t="s">
        <v>35</v>
      </c>
      <c r="F271" s="1">
        <v>13022</v>
      </c>
      <c r="G271" s="1" t="s">
        <v>35</v>
      </c>
      <c r="H271" s="1">
        <v>13022</v>
      </c>
      <c r="I271" s="1">
        <v>41.892471999999998</v>
      </c>
      <c r="J271" s="1">
        <v>-87.612460999999996</v>
      </c>
      <c r="K271" s="1">
        <v>41.892688999999997</v>
      </c>
      <c r="L271" s="1">
        <v>-87.612078999999994</v>
      </c>
      <c r="M271" s="1" t="s">
        <v>17</v>
      </c>
      <c r="N271" s="5">
        <f t="shared" si="12"/>
        <v>1.7627314817218576E-2</v>
      </c>
      <c r="O271" s="1">
        <f t="shared" si="13"/>
        <v>6</v>
      </c>
      <c r="P271" s="1" t="str">
        <f t="shared" si="14"/>
        <v>Fri</v>
      </c>
    </row>
    <row r="272" spans="1:16" x14ac:dyDescent="0.25">
      <c r="A272" s="1" t="s">
        <v>309</v>
      </c>
      <c r="B272" s="1" t="s">
        <v>14</v>
      </c>
      <c r="C272" s="2">
        <v>45128.355532407404</v>
      </c>
      <c r="D272" s="2">
        <v>45128.360486111109</v>
      </c>
      <c r="E272" s="1" t="s">
        <v>35</v>
      </c>
      <c r="F272" s="1">
        <v>13022</v>
      </c>
      <c r="G272" s="1" t="s">
        <v>16</v>
      </c>
      <c r="H272" s="1">
        <v>13045</v>
      </c>
      <c r="I272" s="1">
        <v>41.89226</v>
      </c>
      <c r="J272" s="1">
        <v>-87.612181000000007</v>
      </c>
      <c r="K272" s="1">
        <v>41.894441</v>
      </c>
      <c r="L272" s="1">
        <v>-87.629186000000004</v>
      </c>
      <c r="M272" s="1" t="s">
        <v>17</v>
      </c>
      <c r="N272" s="5">
        <f t="shared" si="12"/>
        <v>4.9537037048139609E-3</v>
      </c>
      <c r="O272" s="1">
        <f t="shared" si="13"/>
        <v>6</v>
      </c>
      <c r="P272" s="1" t="str">
        <f t="shared" si="14"/>
        <v>Fri</v>
      </c>
    </row>
    <row r="273" spans="1:16" x14ac:dyDescent="0.25">
      <c r="A273" s="3" t="s">
        <v>310</v>
      </c>
      <c r="B273" s="1" t="s">
        <v>37</v>
      </c>
      <c r="C273" s="2">
        <v>45129.296875</v>
      </c>
      <c r="D273" s="2">
        <v>45129.303715277776</v>
      </c>
      <c r="E273" s="1" t="s">
        <v>24</v>
      </c>
      <c r="F273" s="1">
        <v>13263</v>
      </c>
      <c r="G273" s="1" t="s">
        <v>15</v>
      </c>
      <c r="H273" s="1">
        <v>13008</v>
      </c>
      <c r="I273" s="1">
        <v>41.885156000000002</v>
      </c>
      <c r="J273" s="1">
        <v>-87.619024999999993</v>
      </c>
      <c r="K273" s="1">
        <v>41.881328000000003</v>
      </c>
      <c r="L273" s="1">
        <v>-87.623829999999998</v>
      </c>
      <c r="M273" s="1" t="s">
        <v>31</v>
      </c>
      <c r="N273" s="5">
        <f t="shared" si="12"/>
        <v>6.8402777760638855E-3</v>
      </c>
      <c r="O273" s="1">
        <f t="shared" si="13"/>
        <v>7</v>
      </c>
      <c r="P273" s="1" t="str">
        <f t="shared" si="14"/>
        <v>Sat</v>
      </c>
    </row>
    <row r="274" spans="1:16" x14ac:dyDescent="0.25">
      <c r="A274" s="1" t="s">
        <v>311</v>
      </c>
      <c r="B274" s="1" t="s">
        <v>37</v>
      </c>
      <c r="C274" s="2">
        <v>45129.86010416667</v>
      </c>
      <c r="D274" s="2">
        <v>45129.866597222222</v>
      </c>
      <c r="E274" s="1" t="s">
        <v>30</v>
      </c>
      <c r="F274" s="1">
        <v>13137</v>
      </c>
      <c r="G274" s="1" t="s">
        <v>35</v>
      </c>
      <c r="H274" s="1">
        <v>13022</v>
      </c>
      <c r="I274" s="1">
        <v>41.937148999999998</v>
      </c>
      <c r="J274" s="1">
        <v>-87.644080000000002</v>
      </c>
      <c r="K274" s="1">
        <v>41.891928</v>
      </c>
      <c r="L274" s="1">
        <v>-87.611806000000001</v>
      </c>
      <c r="M274" s="1" t="s">
        <v>17</v>
      </c>
      <c r="N274" s="5">
        <f t="shared" si="12"/>
        <v>6.4930555527098477E-3</v>
      </c>
      <c r="O274" s="1">
        <f t="shared" si="13"/>
        <v>7</v>
      </c>
      <c r="P274" s="1" t="str">
        <f t="shared" si="14"/>
        <v>Sat</v>
      </c>
    </row>
    <row r="275" spans="1:16" x14ac:dyDescent="0.25">
      <c r="A275" s="1" t="s">
        <v>312</v>
      </c>
      <c r="B275" s="1" t="s">
        <v>37</v>
      </c>
      <c r="C275" s="2">
        <v>45130.338055555556</v>
      </c>
      <c r="D275" s="2">
        <v>45130.36</v>
      </c>
      <c r="E275" s="1" t="s">
        <v>27</v>
      </c>
      <c r="F275" s="1" t="s">
        <v>28</v>
      </c>
      <c r="G275" s="1" t="s">
        <v>27</v>
      </c>
      <c r="H275" s="1" t="s">
        <v>28</v>
      </c>
      <c r="I275" s="1">
        <v>41.888846000000001</v>
      </c>
      <c r="J275" s="1">
        <v>-87.638037999999995</v>
      </c>
      <c r="K275" s="1">
        <v>41.889130000000002</v>
      </c>
      <c r="L275" s="1">
        <v>-87.638059999999996</v>
      </c>
      <c r="M275" s="1" t="s">
        <v>17</v>
      </c>
      <c r="N275" s="5">
        <f t="shared" si="12"/>
        <v>2.1944444444670808E-2</v>
      </c>
      <c r="O275" s="1">
        <f t="shared" si="13"/>
        <v>1</v>
      </c>
      <c r="P275" s="1" t="str">
        <f t="shared" si="14"/>
        <v>Sun</v>
      </c>
    </row>
    <row r="276" spans="1:16" x14ac:dyDescent="0.25">
      <c r="A276" s="1" t="s">
        <v>313</v>
      </c>
      <c r="B276" s="1" t="s">
        <v>37</v>
      </c>
      <c r="C276" s="2">
        <v>45132.099293981482</v>
      </c>
      <c r="D276" s="2">
        <v>45132.107222222221</v>
      </c>
      <c r="E276" s="1" t="s">
        <v>15</v>
      </c>
      <c r="F276" s="1">
        <v>13008</v>
      </c>
      <c r="G276" s="1" t="s">
        <v>43</v>
      </c>
      <c r="H276" s="1" t="s">
        <v>44</v>
      </c>
      <c r="I276" s="1">
        <v>41.880771000000003</v>
      </c>
      <c r="J276" s="1">
        <v>-87.624053000000004</v>
      </c>
      <c r="K276" s="1">
        <v>41.903373000000002</v>
      </c>
      <c r="L276" s="1">
        <v>-87.634179000000003</v>
      </c>
      <c r="M276" s="1" t="s">
        <v>17</v>
      </c>
      <c r="N276" s="5">
        <f t="shared" si="12"/>
        <v>7.9282407386926934E-3</v>
      </c>
      <c r="O276" s="1">
        <f t="shared" si="13"/>
        <v>3</v>
      </c>
      <c r="P276" s="1" t="str">
        <f t="shared" si="14"/>
        <v>Tue</v>
      </c>
    </row>
    <row r="277" spans="1:16" x14ac:dyDescent="0.25">
      <c r="A277" s="1" t="s">
        <v>314</v>
      </c>
      <c r="B277" s="1" t="s">
        <v>37</v>
      </c>
      <c r="C277" s="2">
        <v>45132.776562500003</v>
      </c>
      <c r="D277" s="2">
        <v>45132.82303240741</v>
      </c>
      <c r="E277" s="1" t="s">
        <v>43</v>
      </c>
      <c r="F277" s="1" t="s">
        <v>44</v>
      </c>
      <c r="G277" s="1" t="s">
        <v>47</v>
      </c>
      <c r="H277" s="1" t="s">
        <v>48</v>
      </c>
      <c r="I277" s="1">
        <v>41.903402</v>
      </c>
      <c r="J277" s="1">
        <v>-87.633877999999996</v>
      </c>
      <c r="K277" s="1">
        <v>41.882038000000001</v>
      </c>
      <c r="L277" s="1">
        <v>-87.641565</v>
      </c>
      <c r="M277" s="1" t="s">
        <v>17</v>
      </c>
      <c r="N277" s="5">
        <f t="shared" si="12"/>
        <v>4.6469907407299615E-2</v>
      </c>
      <c r="O277" s="1">
        <f t="shared" si="13"/>
        <v>3</v>
      </c>
      <c r="P277" s="1" t="str">
        <f t="shared" si="14"/>
        <v>Tue</v>
      </c>
    </row>
    <row r="278" spans="1:16" x14ac:dyDescent="0.25">
      <c r="A278" s="1" t="s">
        <v>315</v>
      </c>
      <c r="B278" s="1" t="s">
        <v>14</v>
      </c>
      <c r="C278" s="2">
        <v>45133.039409722223</v>
      </c>
      <c r="D278" s="2">
        <v>45133.051840277774</v>
      </c>
      <c r="E278" s="1" t="s">
        <v>27</v>
      </c>
      <c r="F278" s="1" t="s">
        <v>28</v>
      </c>
      <c r="G278" s="1" t="s">
        <v>27</v>
      </c>
      <c r="H278" s="1" t="s">
        <v>28</v>
      </c>
      <c r="I278" s="1">
        <v>41.889339</v>
      </c>
      <c r="J278" s="1">
        <v>-87.638403999999994</v>
      </c>
      <c r="K278" s="1">
        <v>41.888840000000002</v>
      </c>
      <c r="L278" s="1">
        <v>-87.638772000000003</v>
      </c>
      <c r="M278" s="1" t="s">
        <v>31</v>
      </c>
      <c r="N278" s="5">
        <f t="shared" si="12"/>
        <v>1.2430555550963618E-2</v>
      </c>
      <c r="O278" s="1">
        <f t="shared" si="13"/>
        <v>4</v>
      </c>
      <c r="P278" s="1" t="str">
        <f t="shared" si="14"/>
        <v>Wed</v>
      </c>
    </row>
    <row r="279" spans="1:16" x14ac:dyDescent="0.25">
      <c r="A279" s="1" t="s">
        <v>316</v>
      </c>
      <c r="B279" s="1" t="s">
        <v>37</v>
      </c>
      <c r="C279" s="2">
        <v>45133.148263888892</v>
      </c>
      <c r="D279" s="2">
        <v>45133.153344907405</v>
      </c>
      <c r="E279" s="1" t="s">
        <v>47</v>
      </c>
      <c r="F279" s="1" t="s">
        <v>48</v>
      </c>
      <c r="G279" s="1" t="s">
        <v>47</v>
      </c>
      <c r="H279" s="1" t="s">
        <v>48</v>
      </c>
      <c r="I279" s="1">
        <v>41.881791</v>
      </c>
      <c r="J279" s="1">
        <v>-87.641180000000006</v>
      </c>
      <c r="K279" s="1">
        <v>41.882095</v>
      </c>
      <c r="L279" s="1">
        <v>-87.641249999999999</v>
      </c>
      <c r="M279" s="1" t="s">
        <v>17</v>
      </c>
      <c r="N279" s="5">
        <f t="shared" si="12"/>
        <v>5.0810185130103491E-3</v>
      </c>
      <c r="O279" s="1">
        <f t="shared" si="13"/>
        <v>4</v>
      </c>
      <c r="P279" s="1" t="str">
        <f t="shared" si="14"/>
        <v>Wed</v>
      </c>
    </row>
    <row r="280" spans="1:16" x14ac:dyDescent="0.25">
      <c r="A280" s="1" t="s">
        <v>317</v>
      </c>
      <c r="B280" s="1" t="s">
        <v>14</v>
      </c>
      <c r="C280" s="2">
        <v>45133.602442129632</v>
      </c>
      <c r="D280" s="2">
        <v>45133.630277777775</v>
      </c>
      <c r="E280" s="1" t="s">
        <v>30</v>
      </c>
      <c r="F280" s="1">
        <v>13137</v>
      </c>
      <c r="G280" s="1" t="s">
        <v>30</v>
      </c>
      <c r="H280" s="1">
        <v>13137</v>
      </c>
      <c r="I280" s="1">
        <v>41.937781000000001</v>
      </c>
      <c r="J280" s="1">
        <v>-87.644229999999993</v>
      </c>
      <c r="K280" s="1">
        <v>41.937514</v>
      </c>
      <c r="L280" s="1">
        <v>-87.644566999999995</v>
      </c>
      <c r="M280" s="1" t="s">
        <v>31</v>
      </c>
      <c r="N280" s="5">
        <f t="shared" si="12"/>
        <v>2.7835648143081926E-2</v>
      </c>
      <c r="O280" s="1">
        <f t="shared" si="13"/>
        <v>4</v>
      </c>
      <c r="P280" s="1" t="str">
        <f t="shared" si="14"/>
        <v>Wed</v>
      </c>
    </row>
    <row r="281" spans="1:16" x14ac:dyDescent="0.25">
      <c r="A281" s="1" t="s">
        <v>318</v>
      </c>
      <c r="B281" s="1" t="s">
        <v>37</v>
      </c>
      <c r="C281" s="2">
        <v>45134.063668981478</v>
      </c>
      <c r="D281" s="2">
        <v>45134.087870370371</v>
      </c>
      <c r="E281" s="1" t="s">
        <v>41</v>
      </c>
      <c r="F281" s="1" t="s">
        <v>42</v>
      </c>
      <c r="G281" s="1" t="s">
        <v>35</v>
      </c>
      <c r="H281" s="1">
        <v>13022</v>
      </c>
      <c r="I281" s="1">
        <v>41.902641000000003</v>
      </c>
      <c r="J281" s="1">
        <v>-87.631424999999993</v>
      </c>
      <c r="K281" s="1">
        <v>41.892178000000001</v>
      </c>
      <c r="L281" s="1">
        <v>-87.612486000000004</v>
      </c>
      <c r="M281" s="1" t="s">
        <v>17</v>
      </c>
      <c r="N281" s="5">
        <f t="shared" si="12"/>
        <v>2.4201388892834075E-2</v>
      </c>
      <c r="O281" s="1">
        <f t="shared" si="13"/>
        <v>5</v>
      </c>
      <c r="P281" s="1" t="str">
        <f t="shared" si="14"/>
        <v>Thu</v>
      </c>
    </row>
    <row r="282" spans="1:16" x14ac:dyDescent="0.25">
      <c r="A282" s="1" t="s">
        <v>319</v>
      </c>
      <c r="B282" s="1" t="s">
        <v>37</v>
      </c>
      <c r="C282" s="2">
        <v>45134.207604166666</v>
      </c>
      <c r="D282" s="2">
        <v>45134.216805555552</v>
      </c>
      <c r="E282" s="1" t="s">
        <v>41</v>
      </c>
      <c r="F282" s="1" t="s">
        <v>42</v>
      </c>
      <c r="G282" s="1" t="s">
        <v>16</v>
      </c>
      <c r="H282" s="1">
        <v>13045</v>
      </c>
      <c r="I282" s="1">
        <v>41.902864000000001</v>
      </c>
      <c r="J282" s="1">
        <v>-87.631710999999996</v>
      </c>
      <c r="K282" s="1">
        <v>41.894129999999997</v>
      </c>
      <c r="L282" s="1">
        <v>-87.629085000000003</v>
      </c>
      <c r="M282" s="1" t="s">
        <v>17</v>
      </c>
      <c r="N282" s="5">
        <f t="shared" si="12"/>
        <v>9.2013888861401938E-3</v>
      </c>
      <c r="O282" s="1">
        <f t="shared" si="13"/>
        <v>5</v>
      </c>
      <c r="P282" s="1" t="str">
        <f t="shared" si="14"/>
        <v>Thu</v>
      </c>
    </row>
    <row r="283" spans="1:16" x14ac:dyDescent="0.25">
      <c r="A283" s="1" t="s">
        <v>320</v>
      </c>
      <c r="B283" s="1" t="s">
        <v>37</v>
      </c>
      <c r="C283" s="2">
        <v>45134.762141203704</v>
      </c>
      <c r="D283" s="2">
        <v>45134.769953703704</v>
      </c>
      <c r="E283" s="1" t="s">
        <v>23</v>
      </c>
      <c r="F283" s="1">
        <v>13011</v>
      </c>
      <c r="G283" s="1" t="s">
        <v>23</v>
      </c>
      <c r="H283" s="1">
        <v>13011</v>
      </c>
      <c r="I283" s="1">
        <v>41.879736000000001</v>
      </c>
      <c r="J283" s="1">
        <v>-87.639928999999995</v>
      </c>
      <c r="K283" s="1">
        <v>41.879137999999998</v>
      </c>
      <c r="L283" s="1">
        <v>-87.640283999999994</v>
      </c>
      <c r="M283" s="1" t="s">
        <v>17</v>
      </c>
      <c r="N283" s="5">
        <f t="shared" si="12"/>
        <v>7.8125E-3</v>
      </c>
      <c r="O283" s="1">
        <f t="shared" si="13"/>
        <v>5</v>
      </c>
      <c r="P283" s="1" t="str">
        <f t="shared" si="14"/>
        <v>Thu</v>
      </c>
    </row>
    <row r="284" spans="1:16" x14ac:dyDescent="0.25">
      <c r="A284" s="1" t="s">
        <v>321</v>
      </c>
      <c r="B284" s="1" t="s">
        <v>14</v>
      </c>
      <c r="C284" s="2">
        <v>45134.994305555556</v>
      </c>
      <c r="D284" s="2">
        <v>45134.997210648151</v>
      </c>
      <c r="E284" s="1" t="s">
        <v>43</v>
      </c>
      <c r="F284" s="1" t="s">
        <v>44</v>
      </c>
      <c r="G284" s="1" t="s">
        <v>43</v>
      </c>
      <c r="H284" s="1" t="s">
        <v>44</v>
      </c>
      <c r="I284" s="1">
        <v>41.902844999999999</v>
      </c>
      <c r="J284" s="1">
        <v>-87.634304999999998</v>
      </c>
      <c r="K284" s="1">
        <v>41.902968000000001</v>
      </c>
      <c r="L284" s="1">
        <v>-87.634466000000003</v>
      </c>
      <c r="M284" s="1" t="s">
        <v>17</v>
      </c>
      <c r="N284" s="5">
        <f t="shared" si="12"/>
        <v>2.905092595028691E-3</v>
      </c>
      <c r="O284" s="1">
        <f t="shared" si="13"/>
        <v>5</v>
      </c>
      <c r="P284" s="1" t="str">
        <f t="shared" si="14"/>
        <v>Thu</v>
      </c>
    </row>
    <row r="285" spans="1:16" x14ac:dyDescent="0.25">
      <c r="A285" s="1" t="s">
        <v>322</v>
      </c>
      <c r="B285" s="1" t="s">
        <v>14</v>
      </c>
      <c r="C285" s="2">
        <v>45135.177442129629</v>
      </c>
      <c r="D285" s="2">
        <v>45135.188564814816</v>
      </c>
      <c r="E285" s="1" t="s">
        <v>30</v>
      </c>
      <c r="F285" s="1">
        <v>13137</v>
      </c>
      <c r="G285" s="1" t="s">
        <v>30</v>
      </c>
      <c r="H285" s="1">
        <v>13137</v>
      </c>
      <c r="I285" s="1">
        <v>41.937761999999999</v>
      </c>
      <c r="J285" s="1">
        <v>-87.643772999999996</v>
      </c>
      <c r="K285" s="1">
        <v>41.937229000000002</v>
      </c>
      <c r="L285" s="1">
        <v>-87.644437999999994</v>
      </c>
      <c r="M285" s="1" t="s">
        <v>31</v>
      </c>
      <c r="N285" s="5">
        <f t="shared" si="12"/>
        <v>1.1122685187729076E-2</v>
      </c>
      <c r="O285" s="1">
        <f t="shared" si="13"/>
        <v>6</v>
      </c>
      <c r="P285" s="1" t="str">
        <f t="shared" si="14"/>
        <v>Fri</v>
      </c>
    </row>
    <row r="286" spans="1:16" x14ac:dyDescent="0.25">
      <c r="A286" s="1" t="s">
        <v>323</v>
      </c>
      <c r="B286" s="1" t="s">
        <v>14</v>
      </c>
      <c r="C286" s="2">
        <v>45136.200115740743</v>
      </c>
      <c r="D286" s="2">
        <v>45136.242476851854</v>
      </c>
      <c r="E286" s="1" t="s">
        <v>27</v>
      </c>
      <c r="F286" s="1" t="s">
        <v>28</v>
      </c>
      <c r="G286" s="1" t="s">
        <v>16</v>
      </c>
      <c r="H286" s="1">
        <v>13045</v>
      </c>
      <c r="I286" s="1">
        <v>41.889468000000001</v>
      </c>
      <c r="J286" s="1">
        <v>-87.638403999999994</v>
      </c>
      <c r="K286" s="1">
        <v>41.894004000000002</v>
      </c>
      <c r="L286" s="1">
        <v>-87.629756999999998</v>
      </c>
      <c r="M286" s="1" t="s">
        <v>17</v>
      </c>
      <c r="N286" s="5">
        <f t="shared" si="12"/>
        <v>4.2361111110949423E-2</v>
      </c>
      <c r="O286" s="1">
        <f t="shared" si="13"/>
        <v>7</v>
      </c>
      <c r="P286" s="1" t="str">
        <f t="shared" si="14"/>
        <v>Sat</v>
      </c>
    </row>
    <row r="287" spans="1:16" x14ac:dyDescent="0.25">
      <c r="A287" s="1" t="s">
        <v>324</v>
      </c>
      <c r="B287" s="1" t="s">
        <v>14</v>
      </c>
      <c r="C287" s="2">
        <v>45136.545289351852</v>
      </c>
      <c r="D287" s="2">
        <v>45136.610196759262</v>
      </c>
      <c r="E287" s="1" t="s">
        <v>23</v>
      </c>
      <c r="F287" s="1">
        <v>13011</v>
      </c>
      <c r="G287" s="1" t="s">
        <v>66</v>
      </c>
      <c r="H287" s="1">
        <v>13042</v>
      </c>
      <c r="I287" s="1">
        <v>41.879348999999998</v>
      </c>
      <c r="J287" s="1">
        <v>-87.640020000000007</v>
      </c>
      <c r="K287" s="1">
        <v>41.900525999999999</v>
      </c>
      <c r="L287" s="1">
        <v>-87.623455000000007</v>
      </c>
      <c r="M287" s="1" t="s">
        <v>31</v>
      </c>
      <c r="N287" s="5">
        <f t="shared" si="12"/>
        <v>6.490740740991896E-2</v>
      </c>
      <c r="O287" s="1">
        <f t="shared" si="13"/>
        <v>7</v>
      </c>
      <c r="P287" s="1" t="str">
        <f t="shared" si="14"/>
        <v>Sat</v>
      </c>
    </row>
    <row r="288" spans="1:16" x14ac:dyDescent="0.25">
      <c r="A288" s="1" t="s">
        <v>325</v>
      </c>
      <c r="B288" s="1" t="s">
        <v>37</v>
      </c>
      <c r="C288" s="2">
        <v>45136.564351851855</v>
      </c>
      <c r="D288" s="2">
        <v>45136.570416666669</v>
      </c>
      <c r="E288" s="1" t="s">
        <v>30</v>
      </c>
      <c r="F288" s="1">
        <v>13137</v>
      </c>
      <c r="G288" s="1" t="s">
        <v>15</v>
      </c>
      <c r="H288" s="1">
        <v>13008</v>
      </c>
      <c r="I288" s="1">
        <v>41.938077999999997</v>
      </c>
      <c r="J288" s="1">
        <v>-87.643797000000006</v>
      </c>
      <c r="K288" s="1">
        <v>41.881377999999998</v>
      </c>
      <c r="L288" s="1">
        <v>-87.623948999999996</v>
      </c>
      <c r="M288" s="1" t="s">
        <v>17</v>
      </c>
      <c r="N288" s="5">
        <f t="shared" si="12"/>
        <v>6.064814813726116E-3</v>
      </c>
      <c r="O288" s="1">
        <f t="shared" si="13"/>
        <v>7</v>
      </c>
      <c r="P288" s="1" t="str">
        <f t="shared" si="14"/>
        <v>Sat</v>
      </c>
    </row>
    <row r="289" spans="1:16" x14ac:dyDescent="0.25">
      <c r="A289" s="1" t="s">
        <v>326</v>
      </c>
      <c r="B289" s="1" t="s">
        <v>14</v>
      </c>
      <c r="C289" s="2">
        <v>45136.967002314814</v>
      </c>
      <c r="D289" s="2">
        <v>45137.03402777778</v>
      </c>
      <c r="E289" s="1" t="s">
        <v>33</v>
      </c>
      <c r="F289" s="1" t="s">
        <v>34</v>
      </c>
      <c r="G289" s="1" t="s">
        <v>24</v>
      </c>
      <c r="H289" s="1">
        <v>13263</v>
      </c>
      <c r="I289" s="1">
        <v>41.886952000000001</v>
      </c>
      <c r="J289" s="1">
        <v>-87.612639000000001</v>
      </c>
      <c r="K289" s="1">
        <v>41.884990999999999</v>
      </c>
      <c r="L289" s="1">
        <v>-87.619975999999994</v>
      </c>
      <c r="M289" s="1" t="s">
        <v>17</v>
      </c>
      <c r="N289" s="5">
        <f t="shared" si="12"/>
        <v>6.7025462965830229E-2</v>
      </c>
      <c r="O289" s="1">
        <f t="shared" si="13"/>
        <v>7</v>
      </c>
      <c r="P289" s="1" t="str">
        <f t="shared" si="14"/>
        <v>Sat</v>
      </c>
    </row>
    <row r="290" spans="1:16" x14ac:dyDescent="0.25">
      <c r="A290" s="1" t="s">
        <v>327</v>
      </c>
      <c r="B290" s="1" t="s">
        <v>37</v>
      </c>
      <c r="C290" s="2">
        <v>45137.438240740739</v>
      </c>
      <c r="D290" s="2">
        <v>45137.442013888889</v>
      </c>
      <c r="E290" s="1" t="s">
        <v>35</v>
      </c>
      <c r="F290" s="1">
        <v>13022</v>
      </c>
      <c r="G290" s="1" t="s">
        <v>35</v>
      </c>
      <c r="H290" s="1">
        <v>13022</v>
      </c>
      <c r="I290" s="1">
        <v>41.89199</v>
      </c>
      <c r="J290" s="1">
        <v>-87.611879000000002</v>
      </c>
      <c r="K290" s="1">
        <v>41.892189000000002</v>
      </c>
      <c r="L290" s="1">
        <v>-87.612140999999994</v>
      </c>
      <c r="M290" s="1" t="s">
        <v>17</v>
      </c>
      <c r="N290" s="5">
        <f t="shared" si="12"/>
        <v>3.7731481497758068E-3</v>
      </c>
      <c r="O290" s="1">
        <f t="shared" si="13"/>
        <v>1</v>
      </c>
      <c r="P290" s="1" t="str">
        <f t="shared" si="14"/>
        <v>Sun</v>
      </c>
    </row>
    <row r="291" spans="1:16" x14ac:dyDescent="0.25">
      <c r="A291" s="1" t="s">
        <v>328</v>
      </c>
      <c r="B291" s="1" t="s">
        <v>14</v>
      </c>
      <c r="C291" s="2">
        <v>45138.061284722222</v>
      </c>
      <c r="D291" s="2">
        <v>45138.071099537039</v>
      </c>
      <c r="E291" s="1" t="s">
        <v>35</v>
      </c>
      <c r="F291" s="1">
        <v>13022</v>
      </c>
      <c r="G291" s="1" t="s">
        <v>35</v>
      </c>
      <c r="H291" s="1">
        <v>13022</v>
      </c>
      <c r="I291" s="1">
        <v>41.892046999999998</v>
      </c>
      <c r="J291" s="1">
        <v>-87.612343999999993</v>
      </c>
      <c r="K291" s="1">
        <v>41.892024999999997</v>
      </c>
      <c r="L291" s="1">
        <v>-87.612236999999993</v>
      </c>
      <c r="M291" s="1" t="s">
        <v>31</v>
      </c>
      <c r="N291" s="5">
        <f t="shared" si="12"/>
        <v>9.8148148172185756E-3</v>
      </c>
      <c r="O291" s="1">
        <f t="shared" si="13"/>
        <v>2</v>
      </c>
      <c r="P291" s="1" t="str">
        <f t="shared" si="14"/>
        <v>Mon</v>
      </c>
    </row>
    <row r="292" spans="1:16" x14ac:dyDescent="0.25">
      <c r="A292" s="1" t="s">
        <v>329</v>
      </c>
      <c r="B292" s="1" t="s">
        <v>37</v>
      </c>
      <c r="C292" s="2">
        <v>45138.403287037036</v>
      </c>
      <c r="D292" s="2">
        <v>45138.4137962963</v>
      </c>
      <c r="E292" s="1" t="s">
        <v>24</v>
      </c>
      <c r="F292" s="1">
        <v>13263</v>
      </c>
      <c r="G292" s="1" t="s">
        <v>27</v>
      </c>
      <c r="H292" s="1" t="s">
        <v>28</v>
      </c>
      <c r="I292" s="1">
        <v>41.884231999999997</v>
      </c>
      <c r="J292" s="1">
        <v>-87.619518999999997</v>
      </c>
      <c r="K292" s="1">
        <v>41.88926</v>
      </c>
      <c r="L292" s="1">
        <v>-87.638426999999993</v>
      </c>
      <c r="M292" s="1" t="s">
        <v>31</v>
      </c>
      <c r="N292" s="5">
        <f t="shared" si="12"/>
        <v>1.0509259263926651E-2</v>
      </c>
      <c r="O292" s="1">
        <f t="shared" si="13"/>
        <v>2</v>
      </c>
      <c r="P292" s="1" t="str">
        <f t="shared" si="14"/>
        <v>Mon</v>
      </c>
    </row>
    <row r="293" spans="1:16" x14ac:dyDescent="0.25">
      <c r="A293" s="1">
        <v>417567905823258</v>
      </c>
      <c r="B293" s="1" t="s">
        <v>14</v>
      </c>
      <c r="C293" s="2">
        <v>45140.163553240738</v>
      </c>
      <c r="D293" s="2">
        <v>45140.172442129631</v>
      </c>
      <c r="E293" s="1" t="s">
        <v>30</v>
      </c>
      <c r="F293" s="1">
        <v>13137</v>
      </c>
      <c r="G293" s="1" t="s">
        <v>16</v>
      </c>
      <c r="H293" s="1">
        <v>13045</v>
      </c>
      <c r="I293" s="1">
        <v>41.937897999999997</v>
      </c>
      <c r="J293" s="1">
        <v>-87.643737000000002</v>
      </c>
      <c r="K293" s="1">
        <v>41.894339000000002</v>
      </c>
      <c r="L293" s="1">
        <v>-87.628899000000004</v>
      </c>
      <c r="M293" s="1" t="s">
        <v>17</v>
      </c>
      <c r="N293" s="5">
        <f t="shared" si="12"/>
        <v>8.8888888931251131E-3</v>
      </c>
      <c r="O293" s="1">
        <f t="shared" si="13"/>
        <v>4</v>
      </c>
      <c r="P293" s="1" t="str">
        <f t="shared" si="14"/>
        <v>Wed</v>
      </c>
    </row>
    <row r="294" spans="1:16" x14ac:dyDescent="0.25">
      <c r="A294" s="1" t="s">
        <v>330</v>
      </c>
      <c r="B294" s="1" t="s">
        <v>37</v>
      </c>
      <c r="C294" s="2">
        <v>45141.196620370371</v>
      </c>
      <c r="D294" s="2">
        <v>45141.226643518516</v>
      </c>
      <c r="E294" s="1" t="s">
        <v>16</v>
      </c>
      <c r="F294" s="1">
        <v>13045</v>
      </c>
      <c r="G294" s="1" t="s">
        <v>16</v>
      </c>
      <c r="H294" s="1">
        <v>13045</v>
      </c>
      <c r="I294" s="1">
        <v>41.893853</v>
      </c>
      <c r="J294" s="1">
        <v>-87.628912</v>
      </c>
      <c r="K294" s="1">
        <v>41.894261999999998</v>
      </c>
      <c r="L294" s="1">
        <v>-87.629261</v>
      </c>
      <c r="M294" s="1" t="s">
        <v>31</v>
      </c>
      <c r="N294" s="5">
        <f t="shared" si="12"/>
        <v>3.0023148145119194E-2</v>
      </c>
      <c r="O294" s="1">
        <f t="shared" si="13"/>
        <v>5</v>
      </c>
      <c r="P294" s="1" t="str">
        <f t="shared" si="14"/>
        <v>Thu</v>
      </c>
    </row>
    <row r="295" spans="1:16" x14ac:dyDescent="0.25">
      <c r="A295" s="1" t="s">
        <v>331</v>
      </c>
      <c r="B295" s="1" t="s">
        <v>14</v>
      </c>
      <c r="C295" s="2">
        <v>45142.008020833331</v>
      </c>
      <c r="D295" s="2">
        <v>45142.024016203701</v>
      </c>
      <c r="E295" s="1" t="s">
        <v>43</v>
      </c>
      <c r="F295" s="1" t="s">
        <v>44</v>
      </c>
      <c r="G295" s="1" t="s">
        <v>33</v>
      </c>
      <c r="H295" s="1" t="s">
        <v>34</v>
      </c>
      <c r="I295" s="1">
        <v>41.903463000000002</v>
      </c>
      <c r="J295" s="1">
        <v>-87.634281000000001</v>
      </c>
      <c r="K295" s="1">
        <v>41.887129999999999</v>
      </c>
      <c r="L295" s="1">
        <v>-87.613039000000001</v>
      </c>
      <c r="M295" s="1" t="s">
        <v>17</v>
      </c>
      <c r="N295" s="5">
        <f t="shared" si="12"/>
        <v>1.5995370369637385E-2</v>
      </c>
      <c r="O295" s="1">
        <f t="shared" si="13"/>
        <v>6</v>
      </c>
      <c r="P295" s="1" t="str">
        <f t="shared" si="14"/>
        <v>Fri</v>
      </c>
    </row>
    <row r="296" spans="1:16" x14ac:dyDescent="0.25">
      <c r="A296" s="1" t="s">
        <v>332</v>
      </c>
      <c r="B296" s="1" t="s">
        <v>37</v>
      </c>
      <c r="C296" s="2">
        <v>45142.020856481482</v>
      </c>
      <c r="D296" s="2">
        <v>45142.028090277781</v>
      </c>
      <c r="E296" s="1" t="s">
        <v>15</v>
      </c>
      <c r="F296" s="1">
        <v>13008</v>
      </c>
      <c r="G296" s="1" t="s">
        <v>41</v>
      </c>
      <c r="H296" s="1" t="s">
        <v>42</v>
      </c>
      <c r="I296" s="1">
        <v>41.881163999999998</v>
      </c>
      <c r="J296" s="1">
        <v>-87.624427999999995</v>
      </c>
      <c r="K296" s="1">
        <v>41.902946999999998</v>
      </c>
      <c r="L296" s="1">
        <v>-87.631063999999995</v>
      </c>
      <c r="M296" s="1" t="s">
        <v>17</v>
      </c>
      <c r="N296" s="5">
        <f t="shared" si="12"/>
        <v>7.2337962992605753E-3</v>
      </c>
      <c r="O296" s="1">
        <f t="shared" si="13"/>
        <v>6</v>
      </c>
      <c r="P296" s="1" t="str">
        <f t="shared" si="14"/>
        <v>Fri</v>
      </c>
    </row>
    <row r="297" spans="1:16" x14ac:dyDescent="0.25">
      <c r="A297" s="1" t="s">
        <v>333</v>
      </c>
      <c r="B297" s="1" t="s">
        <v>37</v>
      </c>
      <c r="C297" s="2">
        <v>45142.219398148147</v>
      </c>
      <c r="D297" s="2">
        <v>45142.248796296299</v>
      </c>
      <c r="E297" s="1" t="s">
        <v>47</v>
      </c>
      <c r="F297" s="1" t="s">
        <v>48</v>
      </c>
      <c r="G297" s="1" t="s">
        <v>41</v>
      </c>
      <c r="H297" s="1" t="s">
        <v>42</v>
      </c>
      <c r="I297" s="1">
        <v>41.882328999999999</v>
      </c>
      <c r="J297" s="1">
        <v>-87.640601000000004</v>
      </c>
      <c r="K297" s="1">
        <v>41.903080000000003</v>
      </c>
      <c r="L297" s="1">
        <v>-87.631504000000007</v>
      </c>
      <c r="M297" s="1" t="s">
        <v>17</v>
      </c>
      <c r="N297" s="5">
        <f t="shared" si="12"/>
        <v>2.9398148151813075E-2</v>
      </c>
      <c r="O297" s="1">
        <f t="shared" si="13"/>
        <v>6</v>
      </c>
      <c r="P297" s="1" t="str">
        <f t="shared" si="14"/>
        <v>Fri</v>
      </c>
    </row>
    <row r="298" spans="1:16" x14ac:dyDescent="0.25">
      <c r="A298" s="1" t="s">
        <v>334</v>
      </c>
      <c r="B298" s="1" t="s">
        <v>37</v>
      </c>
      <c r="C298" s="2">
        <v>45143.015081018515</v>
      </c>
      <c r="D298" s="2">
        <v>45143.02008101852</v>
      </c>
      <c r="E298" s="1" t="s">
        <v>35</v>
      </c>
      <c r="F298" s="1">
        <v>13022</v>
      </c>
      <c r="G298" s="1" t="s">
        <v>35</v>
      </c>
      <c r="H298" s="1">
        <v>13022</v>
      </c>
      <c r="I298" s="1">
        <v>41.892699</v>
      </c>
      <c r="J298" s="1">
        <v>-87.611566999999994</v>
      </c>
      <c r="K298" s="1">
        <v>41.892000000000003</v>
      </c>
      <c r="L298" s="1">
        <v>-87.612335000000002</v>
      </c>
      <c r="M298" s="1" t="s">
        <v>31</v>
      </c>
      <c r="N298" s="5">
        <f t="shared" si="12"/>
        <v>5.0000000046566129E-3</v>
      </c>
      <c r="O298" s="1">
        <f t="shared" si="13"/>
        <v>7</v>
      </c>
      <c r="P298" s="1" t="str">
        <f t="shared" si="14"/>
        <v>Sat</v>
      </c>
    </row>
    <row r="299" spans="1:16" x14ac:dyDescent="0.25">
      <c r="A299" s="1" t="s">
        <v>335</v>
      </c>
      <c r="B299" s="1" t="s">
        <v>14</v>
      </c>
      <c r="C299" s="2">
        <v>45143.294479166667</v>
      </c>
      <c r="D299" s="2">
        <v>45143.325532407405</v>
      </c>
      <c r="E299" s="1" t="s">
        <v>57</v>
      </c>
      <c r="F299" s="1" t="s">
        <v>58</v>
      </c>
      <c r="G299" s="1" t="s">
        <v>24</v>
      </c>
      <c r="H299" s="1">
        <v>13263</v>
      </c>
      <c r="I299" s="1">
        <v>41.911816000000002</v>
      </c>
      <c r="J299" s="1">
        <v>-87.634200000000007</v>
      </c>
      <c r="K299" s="1">
        <v>41.884605000000001</v>
      </c>
      <c r="L299" s="1">
        <v>-87.619681999999997</v>
      </c>
      <c r="M299" s="1" t="s">
        <v>31</v>
      </c>
      <c r="N299" s="5">
        <f t="shared" si="12"/>
        <v>3.1053240738401655E-2</v>
      </c>
      <c r="O299" s="1">
        <f t="shared" si="13"/>
        <v>7</v>
      </c>
      <c r="P299" s="1" t="str">
        <f t="shared" si="14"/>
        <v>Sat</v>
      </c>
    </row>
    <row r="300" spans="1:16" x14ac:dyDescent="0.25">
      <c r="A300" s="1" t="s">
        <v>336</v>
      </c>
      <c r="B300" s="1" t="s">
        <v>14</v>
      </c>
      <c r="C300" s="2">
        <v>45143.935185185182</v>
      </c>
      <c r="D300" s="2">
        <v>45143.947546296295</v>
      </c>
      <c r="E300" s="1" t="s">
        <v>24</v>
      </c>
      <c r="F300" s="1">
        <v>13263</v>
      </c>
      <c r="G300" s="1" t="s">
        <v>43</v>
      </c>
      <c r="H300" s="1" t="s">
        <v>44</v>
      </c>
      <c r="I300" s="1">
        <v>41.884548000000002</v>
      </c>
      <c r="J300" s="1">
        <v>-87.619124999999997</v>
      </c>
      <c r="K300" s="1">
        <v>41.903111000000003</v>
      </c>
      <c r="L300" s="1">
        <v>-87.634812999999994</v>
      </c>
      <c r="M300" s="1" t="s">
        <v>31</v>
      </c>
      <c r="N300" s="5">
        <f t="shared" si="12"/>
        <v>1.2361111112113576E-2</v>
      </c>
      <c r="O300" s="1">
        <f t="shared" si="13"/>
        <v>7</v>
      </c>
      <c r="P300" s="1" t="str">
        <f t="shared" si="14"/>
        <v>Sat</v>
      </c>
    </row>
    <row r="301" spans="1:16" x14ac:dyDescent="0.25">
      <c r="A301" s="1" t="s">
        <v>337</v>
      </c>
      <c r="B301" s="1" t="s">
        <v>14</v>
      </c>
      <c r="C301" s="2">
        <v>45144.236759259256</v>
      </c>
      <c r="D301" s="2">
        <v>45144.254537037035</v>
      </c>
      <c r="E301" s="1" t="s">
        <v>43</v>
      </c>
      <c r="F301" s="1" t="s">
        <v>44</v>
      </c>
      <c r="G301" s="1" t="s">
        <v>66</v>
      </c>
      <c r="H301" s="1">
        <v>13042</v>
      </c>
      <c r="I301" s="1">
        <v>41.903713000000003</v>
      </c>
      <c r="J301" s="1">
        <v>-87.634411</v>
      </c>
      <c r="K301" s="1">
        <v>41.900832000000001</v>
      </c>
      <c r="L301" s="1">
        <v>-87.623501000000005</v>
      </c>
      <c r="M301" s="1" t="s">
        <v>31</v>
      </c>
      <c r="N301" s="5">
        <f t="shared" si="12"/>
        <v>1.7777777778974269E-2</v>
      </c>
      <c r="O301" s="1">
        <f t="shared" si="13"/>
        <v>1</v>
      </c>
      <c r="P301" s="1" t="str">
        <f t="shared" si="14"/>
        <v>Sun</v>
      </c>
    </row>
    <row r="302" spans="1:16" x14ac:dyDescent="0.25">
      <c r="A302" s="1" t="s">
        <v>338</v>
      </c>
      <c r="B302" s="1" t="s">
        <v>26</v>
      </c>
      <c r="C302" s="2">
        <v>45144.256574074076</v>
      </c>
      <c r="D302" s="2">
        <v>45144.276365740741</v>
      </c>
      <c r="E302" s="1" t="s">
        <v>30</v>
      </c>
      <c r="F302" s="1">
        <v>13137</v>
      </c>
      <c r="G302" s="1" t="s">
        <v>33</v>
      </c>
      <c r="H302" s="1" t="s">
        <v>34</v>
      </c>
      <c r="I302" s="1">
        <v>41.937424999999998</v>
      </c>
      <c r="J302" s="1">
        <v>-87.644065999999995</v>
      </c>
      <c r="K302" s="1">
        <v>41.886602000000003</v>
      </c>
      <c r="L302" s="1">
        <v>-87.61318</v>
      </c>
      <c r="M302" s="1" t="s">
        <v>17</v>
      </c>
      <c r="N302" s="5">
        <f t="shared" si="12"/>
        <v>1.9791666665696539E-2</v>
      </c>
      <c r="O302" s="1">
        <f t="shared" si="13"/>
        <v>1</v>
      </c>
      <c r="P302" s="1" t="str">
        <f t="shared" si="14"/>
        <v>Sun</v>
      </c>
    </row>
    <row r="303" spans="1:16" x14ac:dyDescent="0.25">
      <c r="A303" s="1" t="s">
        <v>339</v>
      </c>
      <c r="B303" s="1" t="s">
        <v>14</v>
      </c>
      <c r="C303" s="2">
        <v>45146.746307870373</v>
      </c>
      <c r="D303" s="2">
        <v>45146.755844907406</v>
      </c>
      <c r="E303" s="1" t="s">
        <v>47</v>
      </c>
      <c r="F303" s="1" t="s">
        <v>48</v>
      </c>
      <c r="G303" s="1" t="s">
        <v>16</v>
      </c>
      <c r="H303" s="1">
        <v>13045</v>
      </c>
      <c r="I303" s="1">
        <v>41.882506999999997</v>
      </c>
      <c r="J303" s="1">
        <v>-87.641418999999999</v>
      </c>
      <c r="K303" s="1">
        <v>41.894182000000001</v>
      </c>
      <c r="L303" s="1">
        <v>-87.628872999999999</v>
      </c>
      <c r="M303" s="1" t="s">
        <v>17</v>
      </c>
      <c r="N303" s="5">
        <f t="shared" si="12"/>
        <v>9.5370370327145793E-3</v>
      </c>
      <c r="O303" s="1">
        <f t="shared" si="13"/>
        <v>3</v>
      </c>
      <c r="P303" s="1" t="str">
        <f t="shared" si="14"/>
        <v>Tue</v>
      </c>
    </row>
    <row r="304" spans="1:16" x14ac:dyDescent="0.25">
      <c r="A304" s="1" t="s">
        <v>340</v>
      </c>
      <c r="B304" s="1" t="s">
        <v>37</v>
      </c>
      <c r="C304" s="2">
        <v>45146.753564814811</v>
      </c>
      <c r="D304" s="2">
        <v>45146.757002314815</v>
      </c>
      <c r="E304" s="1" t="s">
        <v>41</v>
      </c>
      <c r="F304" s="1" t="s">
        <v>42</v>
      </c>
      <c r="G304" s="1" t="s">
        <v>33</v>
      </c>
      <c r="H304" s="1" t="s">
        <v>34</v>
      </c>
      <c r="I304" s="1">
        <v>41.902523000000002</v>
      </c>
      <c r="J304" s="1">
        <v>-87.631726999999998</v>
      </c>
      <c r="K304" s="1">
        <v>41.887168000000003</v>
      </c>
      <c r="L304" s="1">
        <v>-87.612854999999996</v>
      </c>
      <c r="M304" s="1" t="s">
        <v>17</v>
      </c>
      <c r="N304" s="5">
        <f t="shared" si="12"/>
        <v>3.4375000032014214E-3</v>
      </c>
      <c r="O304" s="1">
        <f t="shared" si="13"/>
        <v>3</v>
      </c>
      <c r="P304" s="1" t="str">
        <f t="shared" si="14"/>
        <v>Tue</v>
      </c>
    </row>
    <row r="305" spans="1:16" x14ac:dyDescent="0.25">
      <c r="A305" s="1" t="s">
        <v>341</v>
      </c>
      <c r="B305" s="1" t="s">
        <v>14</v>
      </c>
      <c r="C305" s="2">
        <v>45146.926805555559</v>
      </c>
      <c r="D305" s="2">
        <v>45146.937916666669</v>
      </c>
      <c r="E305" s="1" t="s">
        <v>66</v>
      </c>
      <c r="F305" s="1">
        <v>13042</v>
      </c>
      <c r="G305" s="1" t="s">
        <v>41</v>
      </c>
      <c r="H305" s="1" t="s">
        <v>42</v>
      </c>
      <c r="I305" s="1">
        <v>41.900948999999997</v>
      </c>
      <c r="J305" s="1">
        <v>-87.623290999999995</v>
      </c>
      <c r="K305" s="1">
        <v>41.902715000000001</v>
      </c>
      <c r="L305" s="1">
        <v>-87.631107999999998</v>
      </c>
      <c r="M305" s="1" t="s">
        <v>31</v>
      </c>
      <c r="N305" s="5">
        <f t="shared" si="12"/>
        <v>1.1111111110949423E-2</v>
      </c>
      <c r="O305" s="1">
        <f t="shared" si="13"/>
        <v>3</v>
      </c>
      <c r="P305" s="1" t="str">
        <f t="shared" si="14"/>
        <v>Tue</v>
      </c>
    </row>
    <row r="306" spans="1:16" x14ac:dyDescent="0.25">
      <c r="A306" s="1" t="s">
        <v>342</v>
      </c>
      <c r="B306" s="1" t="s">
        <v>14</v>
      </c>
      <c r="C306" s="2">
        <v>45146.960115740738</v>
      </c>
      <c r="D306" s="2">
        <v>45146.965127314812</v>
      </c>
      <c r="E306" s="1" t="s">
        <v>30</v>
      </c>
      <c r="F306" s="1">
        <v>13137</v>
      </c>
      <c r="G306" s="1" t="s">
        <v>19</v>
      </c>
      <c r="H306" s="1" t="s">
        <v>20</v>
      </c>
      <c r="I306" s="1">
        <v>41.937511000000001</v>
      </c>
      <c r="J306" s="1">
        <v>-87.643753000000004</v>
      </c>
      <c r="K306" s="1">
        <v>41.926045000000002</v>
      </c>
      <c r="L306" s="1">
        <v>-87.631178000000006</v>
      </c>
      <c r="M306" s="1" t="s">
        <v>17</v>
      </c>
      <c r="N306" s="5">
        <f t="shared" si="12"/>
        <v>5.0115740741603076E-3</v>
      </c>
      <c r="O306" s="1">
        <f t="shared" si="13"/>
        <v>3</v>
      </c>
      <c r="P306" s="1" t="str">
        <f t="shared" si="14"/>
        <v>Tue</v>
      </c>
    </row>
    <row r="307" spans="1:16" x14ac:dyDescent="0.25">
      <c r="A307" s="1" t="s">
        <v>343</v>
      </c>
      <c r="B307" s="1" t="s">
        <v>26</v>
      </c>
      <c r="C307" s="2">
        <v>45147.596168981479</v>
      </c>
      <c r="D307" s="2">
        <v>45147.608506944445</v>
      </c>
      <c r="E307" s="1" t="s">
        <v>33</v>
      </c>
      <c r="F307" s="1" t="s">
        <v>34</v>
      </c>
      <c r="G307" s="1" t="s">
        <v>16</v>
      </c>
      <c r="H307" s="1">
        <v>13045</v>
      </c>
      <c r="I307" s="1">
        <v>41.887067000000002</v>
      </c>
      <c r="J307" s="1">
        <v>-87.612660000000005</v>
      </c>
      <c r="K307" s="1">
        <v>41.893748000000002</v>
      </c>
      <c r="L307" s="1">
        <v>-87.629452999999998</v>
      </c>
      <c r="M307" s="1" t="s">
        <v>17</v>
      </c>
      <c r="N307" s="5">
        <f t="shared" si="12"/>
        <v>1.2337962965830229E-2</v>
      </c>
      <c r="O307" s="1">
        <f t="shared" si="13"/>
        <v>4</v>
      </c>
      <c r="P307" s="1" t="str">
        <f t="shared" si="14"/>
        <v>Wed</v>
      </c>
    </row>
    <row r="308" spans="1:16" x14ac:dyDescent="0.25">
      <c r="A308" s="1" t="s">
        <v>344</v>
      </c>
      <c r="B308" s="1" t="s">
        <v>37</v>
      </c>
      <c r="C308" s="2">
        <v>45148.150972222225</v>
      </c>
      <c r="D308" s="2">
        <v>45148.163159722222</v>
      </c>
      <c r="E308" s="1" t="s">
        <v>41</v>
      </c>
      <c r="F308" s="1" t="s">
        <v>42</v>
      </c>
      <c r="G308" s="1" t="s">
        <v>15</v>
      </c>
      <c r="H308" s="1">
        <v>13008</v>
      </c>
      <c r="I308" s="1">
        <v>41.903081</v>
      </c>
      <c r="J308" s="1">
        <v>-87.631015000000005</v>
      </c>
      <c r="K308" s="1">
        <v>41.881345000000003</v>
      </c>
      <c r="L308" s="1">
        <v>-87.623866000000007</v>
      </c>
      <c r="M308" s="1" t="s">
        <v>31</v>
      </c>
      <c r="N308" s="5">
        <f t="shared" si="12"/>
        <v>1.2187499996798579E-2</v>
      </c>
      <c r="O308" s="1">
        <f t="shared" si="13"/>
        <v>5</v>
      </c>
      <c r="P308" s="1" t="str">
        <f t="shared" si="14"/>
        <v>Thu</v>
      </c>
    </row>
    <row r="309" spans="1:16" x14ac:dyDescent="0.25">
      <c r="A309" s="1" t="s">
        <v>345</v>
      </c>
      <c r="B309" s="1" t="s">
        <v>14</v>
      </c>
      <c r="C309" s="2">
        <v>45150.535219907404</v>
      </c>
      <c r="D309" s="2">
        <v>45150.538113425922</v>
      </c>
      <c r="E309" s="1" t="s">
        <v>66</v>
      </c>
      <c r="F309" s="1">
        <v>13042</v>
      </c>
      <c r="G309" s="1" t="s">
        <v>66</v>
      </c>
      <c r="H309" s="1">
        <v>13042</v>
      </c>
      <c r="I309" s="1">
        <v>41.901102999999999</v>
      </c>
      <c r="J309" s="1">
        <v>-87.623518000000004</v>
      </c>
      <c r="K309" s="1">
        <v>41.900959999999998</v>
      </c>
      <c r="L309" s="1">
        <v>-87.623734999999996</v>
      </c>
      <c r="M309" s="1" t="s">
        <v>17</v>
      </c>
      <c r="N309" s="5">
        <f t="shared" si="12"/>
        <v>2.8935185182490386E-3</v>
      </c>
      <c r="O309" s="1">
        <f t="shared" si="13"/>
        <v>7</v>
      </c>
      <c r="P309" s="1" t="str">
        <f t="shared" si="14"/>
        <v>Sat</v>
      </c>
    </row>
    <row r="310" spans="1:16" x14ac:dyDescent="0.25">
      <c r="A310" s="1" t="s">
        <v>346</v>
      </c>
      <c r="B310" s="1" t="s">
        <v>14</v>
      </c>
      <c r="C310" s="2">
        <v>45150.877164351848</v>
      </c>
      <c r="D310" s="2">
        <v>45150.884375000001</v>
      </c>
      <c r="E310" s="1" t="s">
        <v>23</v>
      </c>
      <c r="F310" s="1">
        <v>13011</v>
      </c>
      <c r="G310" s="1" t="s">
        <v>16</v>
      </c>
      <c r="H310" s="1">
        <v>13045</v>
      </c>
      <c r="I310" s="1">
        <v>41.878943</v>
      </c>
      <c r="J310" s="1">
        <v>-87.639939999999996</v>
      </c>
      <c r="K310" s="1">
        <v>41.893844999999999</v>
      </c>
      <c r="L310" s="1">
        <v>-87.629233999999997</v>
      </c>
      <c r="M310" s="1" t="s">
        <v>17</v>
      </c>
      <c r="N310" s="5">
        <f t="shared" si="12"/>
        <v>7.2106481529772282E-3</v>
      </c>
      <c r="O310" s="1">
        <f t="shared" si="13"/>
        <v>7</v>
      </c>
      <c r="P310" s="1" t="str">
        <f t="shared" si="14"/>
        <v>Sat</v>
      </c>
    </row>
    <row r="311" spans="1:16" x14ac:dyDescent="0.25">
      <c r="A311" s="1" t="s">
        <v>347</v>
      </c>
      <c r="B311" s="1" t="s">
        <v>14</v>
      </c>
      <c r="C311" s="2">
        <v>45150.877280092594</v>
      </c>
      <c r="D311" s="2">
        <v>45150.880462962959</v>
      </c>
      <c r="E311" s="1" t="s">
        <v>24</v>
      </c>
      <c r="F311" s="1">
        <v>13263</v>
      </c>
      <c r="G311" s="1" t="s">
        <v>57</v>
      </c>
      <c r="H311" s="1" t="s">
        <v>58</v>
      </c>
      <c r="I311" s="1">
        <v>41.885030999999998</v>
      </c>
      <c r="J311" s="1">
        <v>-87.619774000000007</v>
      </c>
      <c r="K311" s="1">
        <v>41.912609000000003</v>
      </c>
      <c r="L311" s="1">
        <v>-87.634810999999999</v>
      </c>
      <c r="M311" s="1" t="s">
        <v>17</v>
      </c>
      <c r="N311" s="5">
        <f t="shared" si="12"/>
        <v>3.1828703649807721E-3</v>
      </c>
      <c r="O311" s="1">
        <f t="shared" si="13"/>
        <v>7</v>
      </c>
      <c r="P311" s="1" t="str">
        <f t="shared" si="14"/>
        <v>Sat</v>
      </c>
    </row>
    <row r="312" spans="1:16" x14ac:dyDescent="0.25">
      <c r="A312" s="1" t="s">
        <v>348</v>
      </c>
      <c r="B312" s="1" t="s">
        <v>14</v>
      </c>
      <c r="C312" s="2">
        <v>45151.075995370367</v>
      </c>
      <c r="D312" s="2">
        <v>45151.111597222225</v>
      </c>
      <c r="E312" s="1" t="s">
        <v>30</v>
      </c>
      <c r="F312" s="1">
        <v>13137</v>
      </c>
      <c r="G312" s="1" t="s">
        <v>23</v>
      </c>
      <c r="H312" s="1">
        <v>13011</v>
      </c>
      <c r="I312" s="1">
        <v>41.937091000000002</v>
      </c>
      <c r="J312" s="1">
        <v>-87.643778999999995</v>
      </c>
      <c r="K312" s="1">
        <v>41.878883000000002</v>
      </c>
      <c r="L312" s="1">
        <v>-87.640120999999994</v>
      </c>
      <c r="M312" s="1" t="s">
        <v>17</v>
      </c>
      <c r="N312" s="5">
        <f t="shared" si="12"/>
        <v>3.5601851857791189E-2</v>
      </c>
      <c r="O312" s="1">
        <f t="shared" si="13"/>
        <v>1</v>
      </c>
      <c r="P312" s="1" t="str">
        <f t="shared" si="14"/>
        <v>Sun</v>
      </c>
    </row>
    <row r="313" spans="1:16" x14ac:dyDescent="0.25">
      <c r="A313" s="1" t="s">
        <v>349</v>
      </c>
      <c r="B313" s="1" t="s">
        <v>37</v>
      </c>
      <c r="C313" s="2">
        <v>45151.889351851853</v>
      </c>
      <c r="D313" s="2">
        <v>45151.895972222221</v>
      </c>
      <c r="E313" s="1" t="s">
        <v>47</v>
      </c>
      <c r="F313" s="1" t="s">
        <v>48</v>
      </c>
      <c r="G313" s="1" t="s">
        <v>47</v>
      </c>
      <c r="H313" s="1" t="s">
        <v>48</v>
      </c>
      <c r="I313" s="1">
        <v>41.882139000000002</v>
      </c>
      <c r="J313" s="1">
        <v>-87.641433000000006</v>
      </c>
      <c r="K313" s="1">
        <v>41.882309999999997</v>
      </c>
      <c r="L313" s="1">
        <v>-87.640877000000003</v>
      </c>
      <c r="M313" s="1" t="s">
        <v>17</v>
      </c>
      <c r="N313" s="5">
        <f t="shared" si="12"/>
        <v>6.6203703681821935E-3</v>
      </c>
      <c r="O313" s="1">
        <f t="shared" si="13"/>
        <v>1</v>
      </c>
      <c r="P313" s="1" t="str">
        <f t="shared" si="14"/>
        <v>Sun</v>
      </c>
    </row>
    <row r="314" spans="1:16" x14ac:dyDescent="0.25">
      <c r="A314" s="1" t="s">
        <v>350</v>
      </c>
      <c r="B314" s="1" t="s">
        <v>14</v>
      </c>
      <c r="C314" s="2">
        <v>45152.095092592594</v>
      </c>
      <c r="D314" s="2">
        <v>45152.105081018519</v>
      </c>
      <c r="E314" s="1" t="s">
        <v>47</v>
      </c>
      <c r="F314" s="1" t="s">
        <v>48</v>
      </c>
      <c r="G314" s="1" t="s">
        <v>47</v>
      </c>
      <c r="H314" s="1" t="s">
        <v>48</v>
      </c>
      <c r="I314" s="1">
        <v>41.882477000000002</v>
      </c>
      <c r="J314" s="1">
        <v>-87.640940000000001</v>
      </c>
      <c r="K314" s="1">
        <v>41.882323</v>
      </c>
      <c r="L314" s="1">
        <v>-87.640823999999995</v>
      </c>
      <c r="M314" s="1" t="s">
        <v>17</v>
      </c>
      <c r="N314" s="5">
        <f t="shared" si="12"/>
        <v>9.9884259252576157E-3</v>
      </c>
      <c r="O314" s="1">
        <f t="shared" si="13"/>
        <v>2</v>
      </c>
      <c r="P314" s="1" t="str">
        <f t="shared" si="14"/>
        <v>Mon</v>
      </c>
    </row>
    <row r="315" spans="1:16" x14ac:dyDescent="0.25">
      <c r="A315" s="1" t="s">
        <v>351</v>
      </c>
      <c r="B315" s="1" t="s">
        <v>14</v>
      </c>
      <c r="C315" s="2">
        <v>45152.905844907407</v>
      </c>
      <c r="D315" s="2">
        <v>45152.909282407411</v>
      </c>
      <c r="E315" s="1" t="s">
        <v>66</v>
      </c>
      <c r="F315" s="1">
        <v>13042</v>
      </c>
      <c r="G315" s="1" t="s">
        <v>41</v>
      </c>
      <c r="H315" s="1" t="s">
        <v>42</v>
      </c>
      <c r="I315" s="1">
        <v>41.900517999999998</v>
      </c>
      <c r="J315" s="1">
        <v>-87.623307999999994</v>
      </c>
      <c r="K315" s="1">
        <v>41.903357</v>
      </c>
      <c r="L315" s="1">
        <v>-87.630852000000004</v>
      </c>
      <c r="M315" s="1" t="s">
        <v>17</v>
      </c>
      <c r="N315" s="5">
        <f t="shared" si="12"/>
        <v>3.4375000032014214E-3</v>
      </c>
      <c r="O315" s="1">
        <f t="shared" si="13"/>
        <v>2</v>
      </c>
      <c r="P315" s="1" t="str">
        <f t="shared" si="14"/>
        <v>Mon</v>
      </c>
    </row>
    <row r="316" spans="1:16" x14ac:dyDescent="0.25">
      <c r="A316" s="1" t="s">
        <v>352</v>
      </c>
      <c r="B316" s="1" t="s">
        <v>37</v>
      </c>
      <c r="C316" s="2">
        <v>45153.837256944447</v>
      </c>
      <c r="D316" s="2">
        <v>45153.858807870369</v>
      </c>
      <c r="E316" s="1" t="s">
        <v>30</v>
      </c>
      <c r="F316" s="1">
        <v>13137</v>
      </c>
      <c r="G316" s="1" t="s">
        <v>43</v>
      </c>
      <c r="H316" s="1" t="s">
        <v>44</v>
      </c>
      <c r="I316" s="1">
        <v>41.938025000000003</v>
      </c>
      <c r="J316" s="1">
        <v>-87.644514999999998</v>
      </c>
      <c r="K316" s="1">
        <v>41.902976000000002</v>
      </c>
      <c r="L316" s="1">
        <v>-87.634044000000003</v>
      </c>
      <c r="M316" s="1" t="s">
        <v>31</v>
      </c>
      <c r="N316" s="5">
        <f t="shared" si="12"/>
        <v>2.1550925921474118E-2</v>
      </c>
      <c r="O316" s="1">
        <f t="shared" si="13"/>
        <v>3</v>
      </c>
      <c r="P316" s="1" t="str">
        <f t="shared" si="14"/>
        <v>Tue</v>
      </c>
    </row>
    <row r="317" spans="1:16" x14ac:dyDescent="0.25">
      <c r="A317" s="1" t="s">
        <v>353</v>
      </c>
      <c r="B317" s="1" t="s">
        <v>14</v>
      </c>
      <c r="C317" s="2">
        <v>45154.208101851851</v>
      </c>
      <c r="D317" s="2">
        <v>45154.213425925926</v>
      </c>
      <c r="E317" s="1" t="s">
        <v>47</v>
      </c>
      <c r="F317" s="1" t="s">
        <v>48</v>
      </c>
      <c r="G317" s="1" t="s">
        <v>47</v>
      </c>
      <c r="H317" s="1" t="s">
        <v>48</v>
      </c>
      <c r="I317" s="1">
        <v>41.882157999999997</v>
      </c>
      <c r="J317" s="1">
        <v>-87.640845999999996</v>
      </c>
      <c r="K317" s="1">
        <v>41.882112999999997</v>
      </c>
      <c r="L317" s="1">
        <v>-87.640696000000005</v>
      </c>
      <c r="M317" s="1" t="s">
        <v>31</v>
      </c>
      <c r="N317" s="5">
        <f t="shared" si="12"/>
        <v>5.324074074451346E-3</v>
      </c>
      <c r="O317" s="1">
        <f t="shared" si="13"/>
        <v>4</v>
      </c>
      <c r="P317" s="1" t="str">
        <f t="shared" si="14"/>
        <v>Wed</v>
      </c>
    </row>
    <row r="318" spans="1:16" x14ac:dyDescent="0.25">
      <c r="A318" s="1" t="s">
        <v>354</v>
      </c>
      <c r="B318" s="1" t="s">
        <v>37</v>
      </c>
      <c r="C318" s="2">
        <v>45154.261666666665</v>
      </c>
      <c r="D318" s="2">
        <v>45154.265243055554</v>
      </c>
      <c r="E318" s="1" t="s">
        <v>41</v>
      </c>
      <c r="F318" s="1" t="s">
        <v>42</v>
      </c>
      <c r="G318" s="1" t="s">
        <v>41</v>
      </c>
      <c r="H318" s="1" t="s">
        <v>42</v>
      </c>
      <c r="I318" s="1">
        <v>41.903160999999997</v>
      </c>
      <c r="J318" s="1">
        <v>-87.631538000000006</v>
      </c>
      <c r="K318" s="1">
        <v>41.903384000000003</v>
      </c>
      <c r="L318" s="1">
        <v>-87.630942000000005</v>
      </c>
      <c r="M318" s="1" t="s">
        <v>17</v>
      </c>
      <c r="N318" s="5">
        <f t="shared" si="12"/>
        <v>3.5763888881774619E-3</v>
      </c>
      <c r="O318" s="1">
        <f t="shared" si="13"/>
        <v>4</v>
      </c>
      <c r="P318" s="1" t="str">
        <f t="shared" si="14"/>
        <v>Wed</v>
      </c>
    </row>
    <row r="319" spans="1:16" x14ac:dyDescent="0.25">
      <c r="A319" s="1" t="s">
        <v>355</v>
      </c>
      <c r="B319" s="1" t="s">
        <v>37</v>
      </c>
      <c r="C319" s="2">
        <v>45154.40996527778</v>
      </c>
      <c r="D319" s="2">
        <v>45154.419768518521</v>
      </c>
      <c r="E319" s="1" t="s">
        <v>30</v>
      </c>
      <c r="F319" s="1">
        <v>13137</v>
      </c>
      <c r="G319" s="1" t="s">
        <v>66</v>
      </c>
      <c r="H319" s="1">
        <v>13042</v>
      </c>
      <c r="I319" s="1">
        <v>41.937460999999999</v>
      </c>
      <c r="J319" s="1">
        <v>-87.644261</v>
      </c>
      <c r="K319" s="1">
        <v>41.901359999999997</v>
      </c>
      <c r="L319" s="1">
        <v>-87.623669000000007</v>
      </c>
      <c r="M319" s="1" t="s">
        <v>17</v>
      </c>
      <c r="N319" s="5">
        <f t="shared" si="12"/>
        <v>9.8032407404389232E-3</v>
      </c>
      <c r="O319" s="1">
        <f t="shared" si="13"/>
        <v>4</v>
      </c>
      <c r="P319" s="1" t="str">
        <f t="shared" si="14"/>
        <v>Wed</v>
      </c>
    </row>
    <row r="320" spans="1:16" x14ac:dyDescent="0.25">
      <c r="A320" s="1" t="s">
        <v>356</v>
      </c>
      <c r="B320" s="1" t="s">
        <v>37</v>
      </c>
      <c r="C320" s="2">
        <v>45155.215960648151</v>
      </c>
      <c r="D320" s="2">
        <v>45155.257592592592</v>
      </c>
      <c r="E320" s="1" t="s">
        <v>23</v>
      </c>
      <c r="F320" s="1">
        <v>13011</v>
      </c>
      <c r="G320" s="1" t="s">
        <v>30</v>
      </c>
      <c r="H320" s="1">
        <v>13137</v>
      </c>
      <c r="I320" s="1">
        <v>41.879067999999997</v>
      </c>
      <c r="J320" s="1">
        <v>-87.639554000000004</v>
      </c>
      <c r="K320" s="1">
        <v>41.937170999999999</v>
      </c>
      <c r="L320" s="1">
        <v>-87.643606000000005</v>
      </c>
      <c r="M320" s="1" t="s">
        <v>17</v>
      </c>
      <c r="N320" s="5">
        <f t="shared" si="12"/>
        <v>4.1631944441178348E-2</v>
      </c>
      <c r="O320" s="1">
        <f t="shared" si="13"/>
        <v>5</v>
      </c>
      <c r="P320" s="1" t="str">
        <f t="shared" si="14"/>
        <v>Thu</v>
      </c>
    </row>
    <row r="321" spans="1:16" x14ac:dyDescent="0.25">
      <c r="A321" s="1" t="s">
        <v>357</v>
      </c>
      <c r="B321" s="1" t="s">
        <v>26</v>
      </c>
      <c r="C321" s="2">
        <v>45157.647881944446</v>
      </c>
      <c r="D321" s="2">
        <v>45157.655949074076</v>
      </c>
      <c r="E321" s="1" t="s">
        <v>21</v>
      </c>
      <c r="F321" s="1">
        <v>21213</v>
      </c>
      <c r="G321" s="1" t="s">
        <v>66</v>
      </c>
      <c r="H321" s="1">
        <v>13042</v>
      </c>
      <c r="I321" s="1">
        <v>41.834755999999999</v>
      </c>
      <c r="J321" s="1">
        <v>-87.626187999999999</v>
      </c>
      <c r="K321" s="1">
        <v>41.901420999999999</v>
      </c>
      <c r="L321" s="1">
        <v>-87.623641000000006</v>
      </c>
      <c r="M321" s="1" t="s">
        <v>17</v>
      </c>
      <c r="N321" s="5">
        <f t="shared" si="12"/>
        <v>8.0671296309446916E-3</v>
      </c>
      <c r="O321" s="1">
        <f t="shared" si="13"/>
        <v>7</v>
      </c>
      <c r="P321" s="1" t="str">
        <f t="shared" si="14"/>
        <v>Sat</v>
      </c>
    </row>
    <row r="322" spans="1:16" x14ac:dyDescent="0.25">
      <c r="A322" s="1" t="s">
        <v>358</v>
      </c>
      <c r="B322" s="1" t="s">
        <v>37</v>
      </c>
      <c r="C322" s="2">
        <v>45157.825821759259</v>
      </c>
      <c r="D322" s="2">
        <v>45157.836747685185</v>
      </c>
      <c r="E322" s="1" t="s">
        <v>57</v>
      </c>
      <c r="F322" s="1" t="s">
        <v>58</v>
      </c>
      <c r="G322" s="1" t="s">
        <v>57</v>
      </c>
      <c r="H322" s="1" t="s">
        <v>58</v>
      </c>
      <c r="I322" s="1">
        <v>41.911759000000004</v>
      </c>
      <c r="J322" s="1">
        <v>-87.634343000000001</v>
      </c>
      <c r="K322" s="1">
        <v>41.912557</v>
      </c>
      <c r="L322" s="1">
        <v>-87.634694999999994</v>
      </c>
      <c r="M322" s="1" t="s">
        <v>31</v>
      </c>
      <c r="N322" s="5">
        <f t="shared" si="12"/>
        <v>1.0925925926130731E-2</v>
      </c>
      <c r="O322" s="1">
        <f t="shared" si="13"/>
        <v>7</v>
      </c>
      <c r="P322" s="1" t="str">
        <f t="shared" si="14"/>
        <v>Sat</v>
      </c>
    </row>
    <row r="323" spans="1:16" x14ac:dyDescent="0.25">
      <c r="A323" s="1" t="s">
        <v>359</v>
      </c>
      <c r="B323" s="1" t="s">
        <v>14</v>
      </c>
      <c r="C323" s="2">
        <v>45158.703356481485</v>
      </c>
      <c r="D323" s="2">
        <v>45158.711643518516</v>
      </c>
      <c r="E323" s="1" t="s">
        <v>47</v>
      </c>
      <c r="F323" s="1" t="s">
        <v>48</v>
      </c>
      <c r="G323" s="1" t="s">
        <v>57</v>
      </c>
      <c r="H323" s="1" t="s">
        <v>58</v>
      </c>
      <c r="I323" s="1">
        <v>41.882254000000003</v>
      </c>
      <c r="J323" s="1">
        <v>-87.641462000000004</v>
      </c>
      <c r="K323" s="1">
        <v>41.912018000000003</v>
      </c>
      <c r="L323" s="1">
        <v>-87.634668000000005</v>
      </c>
      <c r="M323" s="1" t="s">
        <v>17</v>
      </c>
      <c r="N323" s="5">
        <f t="shared" ref="N323:N386" si="15">D323-C323</f>
        <v>8.287037031550426E-3</v>
      </c>
      <c r="O323" s="1">
        <f t="shared" ref="O323:O386" si="16">WEEKDAY(C323,1)</f>
        <v>1</v>
      </c>
      <c r="P323" s="1" t="str">
        <f t="shared" ref="P323:P386" si="17">CHOOSE(O323,"Sun","Mon","Tue","Wed","Thu","Fri","Sat")</f>
        <v>Sun</v>
      </c>
    </row>
    <row r="324" spans="1:16" x14ac:dyDescent="0.25">
      <c r="A324" s="1" t="s">
        <v>360</v>
      </c>
      <c r="B324" s="1" t="s">
        <v>37</v>
      </c>
      <c r="C324" s="2">
        <v>45159.636250000003</v>
      </c>
      <c r="D324" s="2">
        <v>45159.6562962963</v>
      </c>
      <c r="E324" s="1" t="s">
        <v>66</v>
      </c>
      <c r="F324" s="1">
        <v>13042</v>
      </c>
      <c r="G324" s="1" t="s">
        <v>19</v>
      </c>
      <c r="H324" s="1" t="s">
        <v>20</v>
      </c>
      <c r="I324" s="1">
        <v>41.900647999999997</v>
      </c>
      <c r="J324" s="1">
        <v>-87.623557000000005</v>
      </c>
      <c r="K324" s="1">
        <v>41.926644000000003</v>
      </c>
      <c r="L324" s="1">
        <v>-87.630880000000005</v>
      </c>
      <c r="M324" s="1" t="s">
        <v>31</v>
      </c>
      <c r="N324" s="5">
        <f t="shared" si="15"/>
        <v>2.0046296296641231E-2</v>
      </c>
      <c r="O324" s="1">
        <f t="shared" si="16"/>
        <v>2</v>
      </c>
      <c r="P324" s="1" t="str">
        <f t="shared" si="17"/>
        <v>Mon</v>
      </c>
    </row>
    <row r="325" spans="1:16" x14ac:dyDescent="0.25">
      <c r="A325" s="1" t="s">
        <v>361</v>
      </c>
      <c r="B325" s="1" t="s">
        <v>26</v>
      </c>
      <c r="C325" s="2">
        <v>45160.656087962961</v>
      </c>
      <c r="D325" s="2">
        <v>45160.66715277778</v>
      </c>
      <c r="E325" s="1" t="s">
        <v>30</v>
      </c>
      <c r="F325" s="1">
        <v>13137</v>
      </c>
      <c r="G325" s="1" t="s">
        <v>41</v>
      </c>
      <c r="H325" s="1" t="s">
        <v>42</v>
      </c>
      <c r="I325" s="1">
        <v>41.937144000000004</v>
      </c>
      <c r="J325" s="1">
        <v>-87.644262999999995</v>
      </c>
      <c r="K325" s="1">
        <v>41.902540000000002</v>
      </c>
      <c r="L325" s="1">
        <v>-87.630804999999995</v>
      </c>
      <c r="M325" s="1" t="s">
        <v>17</v>
      </c>
      <c r="N325" s="5">
        <f t="shared" si="15"/>
        <v>1.1064814818382729E-2</v>
      </c>
      <c r="O325" s="1">
        <f t="shared" si="16"/>
        <v>3</v>
      </c>
      <c r="P325" s="1" t="str">
        <f t="shared" si="17"/>
        <v>Tue</v>
      </c>
    </row>
    <row r="326" spans="1:16" x14ac:dyDescent="0.25">
      <c r="A326" s="1" t="s">
        <v>362</v>
      </c>
      <c r="B326" s="1" t="s">
        <v>37</v>
      </c>
      <c r="C326" s="2">
        <v>45161.720104166663</v>
      </c>
      <c r="D326" s="2">
        <v>45161.728090277778</v>
      </c>
      <c r="E326" s="1" t="s">
        <v>57</v>
      </c>
      <c r="F326" s="1" t="s">
        <v>58</v>
      </c>
      <c r="G326" s="1" t="s">
        <v>57</v>
      </c>
      <c r="H326" s="1" t="s">
        <v>58</v>
      </c>
      <c r="I326" s="1">
        <v>41.912452999999999</v>
      </c>
      <c r="J326" s="1">
        <v>-87.634927000000005</v>
      </c>
      <c r="K326" s="1">
        <v>41.912542000000002</v>
      </c>
      <c r="L326" s="1">
        <v>-87.635154999999997</v>
      </c>
      <c r="M326" s="1" t="s">
        <v>17</v>
      </c>
      <c r="N326" s="5">
        <f t="shared" si="15"/>
        <v>7.9861111153149977E-3</v>
      </c>
      <c r="O326" s="1">
        <f t="shared" si="16"/>
        <v>4</v>
      </c>
      <c r="P326" s="1" t="str">
        <f t="shared" si="17"/>
        <v>Wed</v>
      </c>
    </row>
    <row r="327" spans="1:16" x14ac:dyDescent="0.25">
      <c r="A327" s="1" t="s">
        <v>363</v>
      </c>
      <c r="B327" s="1" t="s">
        <v>14</v>
      </c>
      <c r="C327" s="2">
        <v>45161.763564814813</v>
      </c>
      <c r="D327" s="2">
        <v>45161.767152777778</v>
      </c>
      <c r="E327" s="1" t="s">
        <v>47</v>
      </c>
      <c r="F327" s="1" t="s">
        <v>48</v>
      </c>
      <c r="G327" s="1" t="s">
        <v>27</v>
      </c>
      <c r="H327" s="1" t="s">
        <v>28</v>
      </c>
      <c r="I327" s="1">
        <v>41.881984000000003</v>
      </c>
      <c r="J327" s="1">
        <v>-87.640604999999994</v>
      </c>
      <c r="K327" s="1">
        <v>41.888874000000001</v>
      </c>
      <c r="L327" s="1">
        <v>-87.638054999999994</v>
      </c>
      <c r="M327" s="1" t="s">
        <v>17</v>
      </c>
      <c r="N327" s="5">
        <f t="shared" si="15"/>
        <v>3.5879629649571143E-3</v>
      </c>
      <c r="O327" s="1">
        <f t="shared" si="16"/>
        <v>4</v>
      </c>
      <c r="P327" s="1" t="str">
        <f t="shared" si="17"/>
        <v>Wed</v>
      </c>
    </row>
    <row r="328" spans="1:16" x14ac:dyDescent="0.25">
      <c r="A328" s="1" t="s">
        <v>364</v>
      </c>
      <c r="B328" s="1" t="s">
        <v>14</v>
      </c>
      <c r="C328" s="2">
        <v>45163.019675925927</v>
      </c>
      <c r="D328" s="2">
        <v>45163.063842592594</v>
      </c>
      <c r="E328" s="1" t="s">
        <v>21</v>
      </c>
      <c r="F328" s="1">
        <v>21213</v>
      </c>
      <c r="G328" s="1" t="s">
        <v>66</v>
      </c>
      <c r="H328" s="1">
        <v>13042</v>
      </c>
      <c r="I328" s="1">
        <v>41.834508</v>
      </c>
      <c r="J328" s="1">
        <v>-87.625328999999994</v>
      </c>
      <c r="K328" s="1">
        <v>41.900869</v>
      </c>
      <c r="L328" s="1">
        <v>-87.623383000000004</v>
      </c>
      <c r="M328" s="1" t="s">
        <v>31</v>
      </c>
      <c r="N328" s="5">
        <f t="shared" si="15"/>
        <v>4.4166666666569654E-2</v>
      </c>
      <c r="O328" s="1">
        <f t="shared" si="16"/>
        <v>6</v>
      </c>
      <c r="P328" s="1" t="str">
        <f t="shared" si="17"/>
        <v>Fri</v>
      </c>
    </row>
    <row r="329" spans="1:16" x14ac:dyDescent="0.25">
      <c r="A329" s="1" t="s">
        <v>365</v>
      </c>
      <c r="B329" s="1" t="s">
        <v>14</v>
      </c>
      <c r="C329" s="2">
        <v>45163.583564814813</v>
      </c>
      <c r="D329" s="2">
        <v>45163.590462962966</v>
      </c>
      <c r="E329" s="1" t="s">
        <v>43</v>
      </c>
      <c r="F329" s="1" t="s">
        <v>44</v>
      </c>
      <c r="G329" s="1" t="s">
        <v>66</v>
      </c>
      <c r="H329" s="1">
        <v>13042</v>
      </c>
      <c r="I329" s="1">
        <v>41.903118999999997</v>
      </c>
      <c r="J329" s="1">
        <v>-87.634377000000001</v>
      </c>
      <c r="K329" s="1">
        <v>41.901060999999999</v>
      </c>
      <c r="L329" s="1">
        <v>-87.623761000000002</v>
      </c>
      <c r="M329" s="1" t="s">
        <v>17</v>
      </c>
      <c r="N329" s="5">
        <f t="shared" si="15"/>
        <v>6.8981481526861899E-3</v>
      </c>
      <c r="O329" s="1">
        <f t="shared" si="16"/>
        <v>6</v>
      </c>
      <c r="P329" s="1" t="str">
        <f t="shared" si="17"/>
        <v>Fri</v>
      </c>
    </row>
    <row r="330" spans="1:16" x14ac:dyDescent="0.25">
      <c r="A330" s="1" t="s">
        <v>366</v>
      </c>
      <c r="B330" s="1" t="s">
        <v>14</v>
      </c>
      <c r="C330" s="2">
        <v>45163.93712962963</v>
      </c>
      <c r="D330" s="2">
        <v>45163.942662037036</v>
      </c>
      <c r="E330" s="1" t="s">
        <v>33</v>
      </c>
      <c r="F330" s="1" t="s">
        <v>34</v>
      </c>
      <c r="G330" s="1" t="s">
        <v>23</v>
      </c>
      <c r="H330" s="1">
        <v>13011</v>
      </c>
      <c r="I330" s="1">
        <v>41.887093</v>
      </c>
      <c r="J330" s="1">
        <v>-87.612449999999995</v>
      </c>
      <c r="K330" s="1">
        <v>41.878977999999996</v>
      </c>
      <c r="L330" s="1">
        <v>-87.639531000000005</v>
      </c>
      <c r="M330" s="1" t="s">
        <v>17</v>
      </c>
      <c r="N330" s="5">
        <f t="shared" si="15"/>
        <v>5.5324074055533856E-3</v>
      </c>
      <c r="O330" s="1">
        <f t="shared" si="16"/>
        <v>6</v>
      </c>
      <c r="P330" s="1" t="str">
        <f t="shared" si="17"/>
        <v>Fri</v>
      </c>
    </row>
    <row r="331" spans="1:16" x14ac:dyDescent="0.25">
      <c r="A331" s="1" t="s">
        <v>367</v>
      </c>
      <c r="B331" s="1" t="s">
        <v>37</v>
      </c>
      <c r="C331" s="2">
        <v>45165.290775462963</v>
      </c>
      <c r="D331" s="2">
        <v>45165.295891203707</v>
      </c>
      <c r="E331" s="1" t="s">
        <v>35</v>
      </c>
      <c r="F331" s="1">
        <v>13022</v>
      </c>
      <c r="G331" s="1" t="s">
        <v>27</v>
      </c>
      <c r="H331" s="1" t="s">
        <v>28</v>
      </c>
      <c r="I331" s="1">
        <v>41.892083999999997</v>
      </c>
      <c r="J331" s="1">
        <v>-87.611721000000003</v>
      </c>
      <c r="K331" s="1">
        <v>41.888733999999999</v>
      </c>
      <c r="L331" s="1">
        <v>-87.638587000000001</v>
      </c>
      <c r="M331" s="1" t="s">
        <v>17</v>
      </c>
      <c r="N331" s="5">
        <f t="shared" si="15"/>
        <v>5.1157407433493063E-3</v>
      </c>
      <c r="O331" s="1">
        <f t="shared" si="16"/>
        <v>1</v>
      </c>
      <c r="P331" s="1" t="str">
        <f t="shared" si="17"/>
        <v>Sun</v>
      </c>
    </row>
    <row r="332" spans="1:16" x14ac:dyDescent="0.25">
      <c r="A332" s="1" t="s">
        <v>368</v>
      </c>
      <c r="B332" s="1" t="s">
        <v>37</v>
      </c>
      <c r="C332" s="2">
        <v>45165.309328703705</v>
      </c>
      <c r="D332" s="2">
        <v>45165.32</v>
      </c>
      <c r="E332" s="1" t="s">
        <v>23</v>
      </c>
      <c r="F332" s="1">
        <v>13011</v>
      </c>
      <c r="G332" s="1" t="s">
        <v>35</v>
      </c>
      <c r="H332" s="1">
        <v>13022</v>
      </c>
      <c r="I332" s="1">
        <v>41.879303999999998</v>
      </c>
      <c r="J332" s="1">
        <v>-87.639607999999996</v>
      </c>
      <c r="K332" s="1">
        <v>41.892361000000001</v>
      </c>
      <c r="L332" s="1">
        <v>-87.611582999999996</v>
      </c>
      <c r="M332" s="1" t="s">
        <v>31</v>
      </c>
      <c r="N332" s="5">
        <f t="shared" si="15"/>
        <v>1.0671296295186039E-2</v>
      </c>
      <c r="O332" s="1">
        <f t="shared" si="16"/>
        <v>1</v>
      </c>
      <c r="P332" s="1" t="str">
        <f t="shared" si="17"/>
        <v>Sun</v>
      </c>
    </row>
    <row r="333" spans="1:16" x14ac:dyDescent="0.25">
      <c r="A333" s="1" t="s">
        <v>369</v>
      </c>
      <c r="B333" s="1" t="s">
        <v>37</v>
      </c>
      <c r="C333" s="2">
        <v>45165.425439814811</v>
      </c>
      <c r="D333" s="2">
        <v>45165.442719907405</v>
      </c>
      <c r="E333" s="1" t="s">
        <v>41</v>
      </c>
      <c r="F333" s="1" t="s">
        <v>42</v>
      </c>
      <c r="G333" s="1" t="s">
        <v>66</v>
      </c>
      <c r="H333" s="1">
        <v>13042</v>
      </c>
      <c r="I333" s="1">
        <v>41.902766</v>
      </c>
      <c r="J333" s="1">
        <v>-87.631235000000004</v>
      </c>
      <c r="K333" s="1">
        <v>41.900593000000001</v>
      </c>
      <c r="L333" s="1">
        <v>-87.623585000000006</v>
      </c>
      <c r="M333" s="1" t="s">
        <v>17</v>
      </c>
      <c r="N333" s="5">
        <f t="shared" si="15"/>
        <v>1.7280092593864538E-2</v>
      </c>
      <c r="O333" s="1">
        <f t="shared" si="16"/>
        <v>1</v>
      </c>
      <c r="P333" s="1" t="str">
        <f t="shared" si="17"/>
        <v>Sun</v>
      </c>
    </row>
    <row r="334" spans="1:16" x14ac:dyDescent="0.25">
      <c r="A334" s="1" t="s">
        <v>370</v>
      </c>
      <c r="B334" s="1" t="s">
        <v>14</v>
      </c>
      <c r="C334" s="2">
        <v>45169.218564814815</v>
      </c>
      <c r="D334" s="2">
        <v>45169.226145833331</v>
      </c>
      <c r="E334" s="1" t="s">
        <v>35</v>
      </c>
      <c r="F334" s="1">
        <v>13022</v>
      </c>
      <c r="G334" s="1" t="s">
        <v>33</v>
      </c>
      <c r="H334" s="1" t="s">
        <v>34</v>
      </c>
      <c r="I334" s="1">
        <v>41.892764999999997</v>
      </c>
      <c r="J334" s="1">
        <v>-87.612392999999997</v>
      </c>
      <c r="K334" s="1">
        <v>41.887070000000001</v>
      </c>
      <c r="L334" s="1">
        <v>-87.612932000000001</v>
      </c>
      <c r="M334" s="1" t="s">
        <v>31</v>
      </c>
      <c r="N334" s="5">
        <f t="shared" si="15"/>
        <v>7.5810185153386556E-3</v>
      </c>
      <c r="O334" s="1">
        <f t="shared" si="16"/>
        <v>5</v>
      </c>
      <c r="P334" s="1" t="str">
        <f t="shared" si="17"/>
        <v>Thu</v>
      </c>
    </row>
    <row r="335" spans="1:16" x14ac:dyDescent="0.25">
      <c r="A335" s="1" t="s">
        <v>371</v>
      </c>
      <c r="B335" s="1" t="s">
        <v>14</v>
      </c>
      <c r="C335" s="2">
        <v>45169.357268518521</v>
      </c>
      <c r="D335" s="2">
        <v>45169.364374999997</v>
      </c>
      <c r="E335" s="1" t="s">
        <v>35</v>
      </c>
      <c r="F335" s="1">
        <v>13022</v>
      </c>
      <c r="G335" s="1" t="s">
        <v>35</v>
      </c>
      <c r="H335" s="1">
        <v>13022</v>
      </c>
      <c r="I335" s="1">
        <v>41.892645999999999</v>
      </c>
      <c r="J335" s="1">
        <v>-87.611816000000005</v>
      </c>
      <c r="K335" s="1">
        <v>41.892521000000002</v>
      </c>
      <c r="L335" s="1">
        <v>-87.612117999999995</v>
      </c>
      <c r="M335" s="1" t="s">
        <v>17</v>
      </c>
      <c r="N335" s="5">
        <f t="shared" si="15"/>
        <v>7.1064814765122719E-3</v>
      </c>
      <c r="O335" s="1">
        <f t="shared" si="16"/>
        <v>5</v>
      </c>
      <c r="P335" s="1" t="str">
        <f t="shared" si="17"/>
        <v>Thu</v>
      </c>
    </row>
    <row r="336" spans="1:16" x14ac:dyDescent="0.25">
      <c r="A336" s="1" t="s">
        <v>372</v>
      </c>
      <c r="B336" s="1" t="s">
        <v>14</v>
      </c>
      <c r="C336" s="2">
        <v>45171.713020833333</v>
      </c>
      <c r="D336" s="2">
        <v>45171.717928240738</v>
      </c>
      <c r="E336" s="1" t="s">
        <v>47</v>
      </c>
      <c r="F336" s="1" t="s">
        <v>48</v>
      </c>
      <c r="G336" s="1" t="s">
        <v>15</v>
      </c>
      <c r="H336" s="1">
        <v>13008</v>
      </c>
      <c r="I336" s="1">
        <v>41.882545</v>
      </c>
      <c r="J336" s="1">
        <v>-87.641108000000003</v>
      </c>
      <c r="K336" s="1">
        <v>41.881014999999998</v>
      </c>
      <c r="L336" s="1">
        <v>-87.624450999999993</v>
      </c>
      <c r="M336" s="1" t="s">
        <v>17</v>
      </c>
      <c r="N336" s="5">
        <f t="shared" si="15"/>
        <v>4.907407404971309E-3</v>
      </c>
      <c r="O336" s="1">
        <f t="shared" si="16"/>
        <v>7</v>
      </c>
      <c r="P336" s="1" t="str">
        <f t="shared" si="17"/>
        <v>Sat</v>
      </c>
    </row>
    <row r="337" spans="1:16" x14ac:dyDescent="0.25">
      <c r="A337" s="1" t="s">
        <v>373</v>
      </c>
      <c r="B337" s="1" t="s">
        <v>14</v>
      </c>
      <c r="C337" s="2">
        <v>45172.392858796295</v>
      </c>
      <c r="D337" s="2">
        <v>45172.428935185184</v>
      </c>
      <c r="E337" s="1" t="s">
        <v>19</v>
      </c>
      <c r="F337" s="1" t="s">
        <v>20</v>
      </c>
      <c r="G337" s="1" t="s">
        <v>33</v>
      </c>
      <c r="H337" s="1" t="s">
        <v>34</v>
      </c>
      <c r="I337" s="1">
        <v>41.925840000000001</v>
      </c>
      <c r="J337" s="1">
        <v>-87.631009000000006</v>
      </c>
      <c r="K337" s="1">
        <v>41.887149000000001</v>
      </c>
      <c r="L337" s="1">
        <v>-87.612976000000003</v>
      </c>
      <c r="M337" s="1" t="s">
        <v>31</v>
      </c>
      <c r="N337" s="5">
        <f t="shared" si="15"/>
        <v>3.6076388889341615E-2</v>
      </c>
      <c r="O337" s="1">
        <f t="shared" si="16"/>
        <v>1</v>
      </c>
      <c r="P337" s="1" t="str">
        <f t="shared" si="17"/>
        <v>Sun</v>
      </c>
    </row>
    <row r="338" spans="1:16" x14ac:dyDescent="0.25">
      <c r="A338" s="1" t="s">
        <v>374</v>
      </c>
      <c r="B338" s="1" t="s">
        <v>37</v>
      </c>
      <c r="C338" s="2">
        <v>45172.427349537036</v>
      </c>
      <c r="D338" s="2">
        <v>45172.45894675926</v>
      </c>
      <c r="E338" s="1" t="s">
        <v>43</v>
      </c>
      <c r="F338" s="1" t="s">
        <v>44</v>
      </c>
      <c r="G338" s="1" t="s">
        <v>33</v>
      </c>
      <c r="H338" s="1" t="s">
        <v>34</v>
      </c>
      <c r="I338" s="1">
        <v>41.903607999999998</v>
      </c>
      <c r="J338" s="1">
        <v>-87.633889999999994</v>
      </c>
      <c r="K338" s="1">
        <v>41.887391999999998</v>
      </c>
      <c r="L338" s="1">
        <v>-87.612678000000002</v>
      </c>
      <c r="M338" s="1" t="s">
        <v>17</v>
      </c>
      <c r="N338" s="5">
        <f t="shared" si="15"/>
        <v>3.1597222223354038E-2</v>
      </c>
      <c r="O338" s="1">
        <f t="shared" si="16"/>
        <v>1</v>
      </c>
      <c r="P338" s="1" t="str">
        <f t="shared" si="17"/>
        <v>Sun</v>
      </c>
    </row>
    <row r="339" spans="1:16" x14ac:dyDescent="0.25">
      <c r="A339" s="1" t="s">
        <v>375</v>
      </c>
      <c r="B339" s="1" t="s">
        <v>14</v>
      </c>
      <c r="C339" s="2">
        <v>45172.710509259261</v>
      </c>
      <c r="D339" s="2">
        <v>45172.727002314816</v>
      </c>
      <c r="E339" s="1" t="s">
        <v>57</v>
      </c>
      <c r="F339" s="1" t="s">
        <v>58</v>
      </c>
      <c r="G339" s="1" t="s">
        <v>27</v>
      </c>
      <c r="H339" s="1" t="s">
        <v>28</v>
      </c>
      <c r="I339" s="1">
        <v>41.912118</v>
      </c>
      <c r="J339" s="1">
        <v>-87.635034000000005</v>
      </c>
      <c r="K339" s="1">
        <v>41.889401999999997</v>
      </c>
      <c r="L339" s="1">
        <v>-87.638683</v>
      </c>
      <c r="M339" s="1" t="s">
        <v>17</v>
      </c>
      <c r="N339" s="5">
        <f t="shared" si="15"/>
        <v>1.6493055554747116E-2</v>
      </c>
      <c r="O339" s="1">
        <f t="shared" si="16"/>
        <v>1</v>
      </c>
      <c r="P339" s="1" t="str">
        <f t="shared" si="17"/>
        <v>Sun</v>
      </c>
    </row>
    <row r="340" spans="1:16" x14ac:dyDescent="0.25">
      <c r="A340" s="1" t="s">
        <v>376</v>
      </c>
      <c r="B340" s="1" t="s">
        <v>26</v>
      </c>
      <c r="C340" s="2">
        <v>45173.693888888891</v>
      </c>
      <c r="D340" s="2">
        <v>45173.71297453704</v>
      </c>
      <c r="E340" s="1" t="s">
        <v>15</v>
      </c>
      <c r="F340" s="1">
        <v>13008</v>
      </c>
      <c r="G340" s="1" t="s">
        <v>35</v>
      </c>
      <c r="H340" s="1">
        <v>13022</v>
      </c>
      <c r="I340" s="1">
        <v>41.880989999999997</v>
      </c>
      <c r="J340" s="1">
        <v>-87.623802999999995</v>
      </c>
      <c r="K340" s="1">
        <v>41.892738000000001</v>
      </c>
      <c r="L340" s="1">
        <v>-87.611778999999999</v>
      </c>
      <c r="M340" s="1" t="s">
        <v>17</v>
      </c>
      <c r="N340" s="5">
        <f t="shared" si="15"/>
        <v>1.9085648149484769E-2</v>
      </c>
      <c r="O340" s="1">
        <f t="shared" si="16"/>
        <v>2</v>
      </c>
      <c r="P340" s="1" t="str">
        <f t="shared" si="17"/>
        <v>Mon</v>
      </c>
    </row>
    <row r="341" spans="1:16" x14ac:dyDescent="0.25">
      <c r="A341" s="1" t="s">
        <v>377</v>
      </c>
      <c r="B341" s="1" t="s">
        <v>14</v>
      </c>
      <c r="C341" s="2">
        <v>45173.701678240737</v>
      </c>
      <c r="D341" s="2">
        <v>45173.72556712963</v>
      </c>
      <c r="E341" s="1" t="s">
        <v>16</v>
      </c>
      <c r="F341" s="1">
        <v>13045</v>
      </c>
      <c r="G341" s="1" t="s">
        <v>23</v>
      </c>
      <c r="H341" s="1">
        <v>13011</v>
      </c>
      <c r="I341" s="1">
        <v>41.894115999999997</v>
      </c>
      <c r="J341" s="1">
        <v>-87.628989000000004</v>
      </c>
      <c r="K341" s="1">
        <v>41.878945000000002</v>
      </c>
      <c r="L341" s="1">
        <v>-87.639487000000003</v>
      </c>
      <c r="M341" s="1" t="s">
        <v>17</v>
      </c>
      <c r="N341" s="5">
        <f t="shared" si="15"/>
        <v>2.3888888892543036E-2</v>
      </c>
      <c r="O341" s="1">
        <f t="shared" si="16"/>
        <v>2</v>
      </c>
      <c r="P341" s="1" t="str">
        <f t="shared" si="17"/>
        <v>Mon</v>
      </c>
    </row>
    <row r="342" spans="1:16" x14ac:dyDescent="0.25">
      <c r="A342" s="1" t="s">
        <v>378</v>
      </c>
      <c r="B342" s="1" t="s">
        <v>37</v>
      </c>
      <c r="C342" s="2">
        <v>45174.413148148145</v>
      </c>
      <c r="D342" s="2">
        <v>45174.419618055559</v>
      </c>
      <c r="E342" s="1" t="s">
        <v>43</v>
      </c>
      <c r="F342" s="1" t="s">
        <v>44</v>
      </c>
      <c r="G342" s="1" t="s">
        <v>30</v>
      </c>
      <c r="H342" s="1">
        <v>13137</v>
      </c>
      <c r="I342" s="1">
        <v>41.902915</v>
      </c>
      <c r="J342" s="1">
        <v>-87.633872999999994</v>
      </c>
      <c r="K342" s="1">
        <v>41.937491000000001</v>
      </c>
      <c r="L342" s="1">
        <v>-87.644131000000002</v>
      </c>
      <c r="M342" s="1" t="s">
        <v>17</v>
      </c>
      <c r="N342" s="5">
        <f t="shared" si="15"/>
        <v>6.4699074137024581E-3</v>
      </c>
      <c r="O342" s="1">
        <f t="shared" si="16"/>
        <v>3</v>
      </c>
      <c r="P342" s="1" t="str">
        <f t="shared" si="17"/>
        <v>Tue</v>
      </c>
    </row>
    <row r="343" spans="1:16" x14ac:dyDescent="0.25">
      <c r="A343" s="1" t="s">
        <v>379</v>
      </c>
      <c r="B343" s="1" t="s">
        <v>37</v>
      </c>
      <c r="C343" s="2">
        <v>45174.769004629627</v>
      </c>
      <c r="D343" s="2">
        <v>45174.794351851851</v>
      </c>
      <c r="E343" s="1" t="s">
        <v>24</v>
      </c>
      <c r="F343" s="1">
        <v>13263</v>
      </c>
      <c r="G343" s="1" t="s">
        <v>43</v>
      </c>
      <c r="H343" s="1" t="s">
        <v>44</v>
      </c>
      <c r="I343" s="1">
        <v>41.884228</v>
      </c>
      <c r="J343" s="1">
        <v>-87.619603999999995</v>
      </c>
      <c r="K343" s="1">
        <v>41.903244999999998</v>
      </c>
      <c r="L343" s="1">
        <v>-87.634769000000006</v>
      </c>
      <c r="M343" s="1" t="s">
        <v>17</v>
      </c>
      <c r="N343" s="5">
        <f t="shared" si="15"/>
        <v>2.5347222224809229E-2</v>
      </c>
      <c r="O343" s="1">
        <f t="shared" si="16"/>
        <v>3</v>
      </c>
      <c r="P343" s="1" t="str">
        <f t="shared" si="17"/>
        <v>Tue</v>
      </c>
    </row>
    <row r="344" spans="1:16" x14ac:dyDescent="0.25">
      <c r="A344" s="1" t="s">
        <v>380</v>
      </c>
      <c r="B344" s="1" t="s">
        <v>37</v>
      </c>
      <c r="C344" s="2">
        <v>45175.753321759257</v>
      </c>
      <c r="D344" s="2">
        <v>45175.763379629629</v>
      </c>
      <c r="E344" s="1" t="s">
        <v>16</v>
      </c>
      <c r="F344" s="1">
        <v>13045</v>
      </c>
      <c r="G344" s="1" t="s">
        <v>19</v>
      </c>
      <c r="H344" s="1" t="s">
        <v>20</v>
      </c>
      <c r="I344" s="1">
        <v>41.893678999999999</v>
      </c>
      <c r="J344" s="1">
        <v>-87.629630000000006</v>
      </c>
      <c r="K344" s="1">
        <v>41.925961000000001</v>
      </c>
      <c r="L344" s="1">
        <v>-87.631276999999997</v>
      </c>
      <c r="M344" s="1" t="s">
        <v>17</v>
      </c>
      <c r="N344" s="5">
        <f t="shared" si="15"/>
        <v>1.0057870371383615E-2</v>
      </c>
      <c r="O344" s="1">
        <f t="shared" si="16"/>
        <v>4</v>
      </c>
      <c r="P344" s="1" t="str">
        <f t="shared" si="17"/>
        <v>Wed</v>
      </c>
    </row>
    <row r="345" spans="1:16" x14ac:dyDescent="0.25">
      <c r="A345" s="1" t="s">
        <v>381</v>
      </c>
      <c r="B345" s="1" t="s">
        <v>14</v>
      </c>
      <c r="C345" s="2">
        <v>45176.171006944445</v>
      </c>
      <c r="D345" s="2">
        <v>45176.175092592595</v>
      </c>
      <c r="E345" s="1" t="s">
        <v>30</v>
      </c>
      <c r="F345" s="1">
        <v>13137</v>
      </c>
      <c r="G345" s="1" t="s">
        <v>30</v>
      </c>
      <c r="H345" s="1">
        <v>13137</v>
      </c>
      <c r="I345" s="1">
        <v>41.937778999999999</v>
      </c>
      <c r="J345" s="1">
        <v>-87.644186000000005</v>
      </c>
      <c r="K345" s="1">
        <v>41.937956</v>
      </c>
      <c r="L345" s="1">
        <v>-87.644082999999995</v>
      </c>
      <c r="M345" s="1" t="s">
        <v>17</v>
      </c>
      <c r="N345" s="5">
        <f t="shared" si="15"/>
        <v>4.0856481500668451E-3</v>
      </c>
      <c r="O345" s="1">
        <f t="shared" si="16"/>
        <v>5</v>
      </c>
      <c r="P345" s="1" t="str">
        <f t="shared" si="17"/>
        <v>Thu</v>
      </c>
    </row>
    <row r="346" spans="1:16" x14ac:dyDescent="0.25">
      <c r="A346" s="1" t="s">
        <v>382</v>
      </c>
      <c r="B346" s="1" t="s">
        <v>37</v>
      </c>
      <c r="C346" s="2">
        <v>45177.220960648148</v>
      </c>
      <c r="D346" s="2">
        <v>45177.243680555555</v>
      </c>
      <c r="E346" s="1" t="s">
        <v>23</v>
      </c>
      <c r="F346" s="1">
        <v>13011</v>
      </c>
      <c r="G346" s="1" t="s">
        <v>41</v>
      </c>
      <c r="H346" s="1" t="s">
        <v>42</v>
      </c>
      <c r="I346" s="1">
        <v>41.879358000000003</v>
      </c>
      <c r="J346" s="1">
        <v>-87.640324000000007</v>
      </c>
      <c r="K346" s="1">
        <v>41.903156000000003</v>
      </c>
      <c r="L346" s="1">
        <v>-87.630847000000003</v>
      </c>
      <c r="M346" s="1" t="s">
        <v>17</v>
      </c>
      <c r="N346" s="5">
        <f t="shared" si="15"/>
        <v>2.2719907407008577E-2</v>
      </c>
      <c r="O346" s="1">
        <f t="shared" si="16"/>
        <v>6</v>
      </c>
      <c r="P346" s="1" t="str">
        <f t="shared" si="17"/>
        <v>Fri</v>
      </c>
    </row>
    <row r="347" spans="1:16" x14ac:dyDescent="0.25">
      <c r="A347" s="1" t="s">
        <v>383</v>
      </c>
      <c r="B347" s="1" t="s">
        <v>14</v>
      </c>
      <c r="C347" s="2">
        <v>45178.259201388886</v>
      </c>
      <c r="D347" s="2">
        <v>45178.265023148146</v>
      </c>
      <c r="E347" s="1" t="s">
        <v>33</v>
      </c>
      <c r="F347" s="1" t="s">
        <v>34</v>
      </c>
      <c r="G347" s="1" t="s">
        <v>33</v>
      </c>
      <c r="H347" s="1" t="s">
        <v>34</v>
      </c>
      <c r="I347" s="1">
        <v>41.886961999999997</v>
      </c>
      <c r="J347" s="1">
        <v>-87.612399999999994</v>
      </c>
      <c r="K347" s="1">
        <v>41.887085999999996</v>
      </c>
      <c r="L347" s="1">
        <v>-87.612767000000005</v>
      </c>
      <c r="M347" s="1" t="s">
        <v>17</v>
      </c>
      <c r="N347" s="5">
        <f t="shared" si="15"/>
        <v>5.8217592595610768E-3</v>
      </c>
      <c r="O347" s="1">
        <f t="shared" si="16"/>
        <v>7</v>
      </c>
      <c r="P347" s="1" t="str">
        <f t="shared" si="17"/>
        <v>Sat</v>
      </c>
    </row>
    <row r="348" spans="1:16" x14ac:dyDescent="0.25">
      <c r="A348" s="1" t="s">
        <v>384</v>
      </c>
      <c r="B348" s="1" t="s">
        <v>37</v>
      </c>
      <c r="C348" s="2">
        <v>45178.432928240742</v>
      </c>
      <c r="D348" s="2">
        <v>45178.469629629632</v>
      </c>
      <c r="E348" s="1" t="s">
        <v>23</v>
      </c>
      <c r="F348" s="1">
        <v>13011</v>
      </c>
      <c r="G348" s="1" t="s">
        <v>35</v>
      </c>
      <c r="H348" s="1">
        <v>13022</v>
      </c>
      <c r="I348" s="1">
        <v>41.878847999999998</v>
      </c>
      <c r="J348" s="1">
        <v>-87.639506999999995</v>
      </c>
      <c r="K348" s="1">
        <v>41.892677999999997</v>
      </c>
      <c r="L348" s="1">
        <v>-87.611909999999995</v>
      </c>
      <c r="M348" s="1" t="s">
        <v>17</v>
      </c>
      <c r="N348" s="5">
        <f t="shared" si="15"/>
        <v>3.6701388889923692E-2</v>
      </c>
      <c r="O348" s="1">
        <f t="shared" si="16"/>
        <v>7</v>
      </c>
      <c r="P348" s="1" t="str">
        <f t="shared" si="17"/>
        <v>Sat</v>
      </c>
    </row>
    <row r="349" spans="1:16" x14ac:dyDescent="0.25">
      <c r="A349" s="1" t="s">
        <v>385</v>
      </c>
      <c r="B349" s="1" t="s">
        <v>14</v>
      </c>
      <c r="C349" s="2">
        <v>45179.203182870369</v>
      </c>
      <c r="D349" s="2">
        <v>45179.220763888887</v>
      </c>
      <c r="E349" s="1" t="s">
        <v>43</v>
      </c>
      <c r="F349" s="1" t="s">
        <v>44</v>
      </c>
      <c r="G349" s="1" t="s">
        <v>43</v>
      </c>
      <c r="H349" s="1" t="s">
        <v>44</v>
      </c>
      <c r="I349" s="1">
        <v>41.902939000000003</v>
      </c>
      <c r="J349" s="1">
        <v>-87.634529999999998</v>
      </c>
      <c r="K349" s="1">
        <v>41.903717999999998</v>
      </c>
      <c r="L349" s="1">
        <v>-87.634127000000007</v>
      </c>
      <c r="M349" s="1" t="s">
        <v>31</v>
      </c>
      <c r="N349" s="5">
        <f t="shared" si="15"/>
        <v>1.7581018517375924E-2</v>
      </c>
      <c r="O349" s="1">
        <f t="shared" si="16"/>
        <v>1</v>
      </c>
      <c r="P349" s="1" t="str">
        <f t="shared" si="17"/>
        <v>Sun</v>
      </c>
    </row>
    <row r="350" spans="1:16" x14ac:dyDescent="0.25">
      <c r="A350" s="1" t="s">
        <v>386</v>
      </c>
      <c r="B350" s="1" t="s">
        <v>14</v>
      </c>
      <c r="C350" s="2">
        <v>45179.487361111111</v>
      </c>
      <c r="D350" s="2">
        <v>45179.490312499998</v>
      </c>
      <c r="E350" s="1" t="s">
        <v>66</v>
      </c>
      <c r="F350" s="1">
        <v>13042</v>
      </c>
      <c r="G350" s="1" t="s">
        <v>30</v>
      </c>
      <c r="H350" s="1">
        <v>13137</v>
      </c>
      <c r="I350" s="1">
        <v>41.900542000000002</v>
      </c>
      <c r="J350" s="1">
        <v>-87.623979000000006</v>
      </c>
      <c r="K350" s="1">
        <v>41.937753999999998</v>
      </c>
      <c r="L350" s="1">
        <v>-87.644268999999994</v>
      </c>
      <c r="M350" s="1" t="s">
        <v>17</v>
      </c>
      <c r="N350" s="5">
        <f t="shared" si="15"/>
        <v>2.9513888875953853E-3</v>
      </c>
      <c r="O350" s="1">
        <f t="shared" si="16"/>
        <v>1</v>
      </c>
      <c r="P350" s="1" t="str">
        <f t="shared" si="17"/>
        <v>Sun</v>
      </c>
    </row>
    <row r="351" spans="1:16" x14ac:dyDescent="0.25">
      <c r="A351" s="1" t="s">
        <v>387</v>
      </c>
      <c r="B351" s="1" t="s">
        <v>14</v>
      </c>
      <c r="C351" s="2">
        <v>45180.264236111114</v>
      </c>
      <c r="D351" s="2">
        <v>45180.268391203703</v>
      </c>
      <c r="E351" s="1" t="s">
        <v>30</v>
      </c>
      <c r="F351" s="1">
        <v>13137</v>
      </c>
      <c r="G351" s="1" t="s">
        <v>30</v>
      </c>
      <c r="H351" s="1">
        <v>13137</v>
      </c>
      <c r="I351" s="1">
        <v>41.937694</v>
      </c>
      <c r="J351" s="1">
        <v>-87.644291999999993</v>
      </c>
      <c r="K351" s="1">
        <v>41.937407999999998</v>
      </c>
      <c r="L351" s="1">
        <v>-87.644526999999997</v>
      </c>
      <c r="M351" s="1" t="s">
        <v>17</v>
      </c>
      <c r="N351" s="5">
        <f t="shared" si="15"/>
        <v>4.1550925889168866E-3</v>
      </c>
      <c r="O351" s="1">
        <f t="shared" si="16"/>
        <v>2</v>
      </c>
      <c r="P351" s="1" t="str">
        <f t="shared" si="17"/>
        <v>Mon</v>
      </c>
    </row>
    <row r="352" spans="1:16" x14ac:dyDescent="0.25">
      <c r="A352" s="1" t="s">
        <v>388</v>
      </c>
      <c r="B352" s="1" t="s">
        <v>14</v>
      </c>
      <c r="C352" s="2">
        <v>45181.561030092591</v>
      </c>
      <c r="D352" s="2">
        <v>45181.567002314812</v>
      </c>
      <c r="E352" s="1" t="s">
        <v>66</v>
      </c>
      <c r="F352" s="1">
        <v>13042</v>
      </c>
      <c r="G352" s="1" t="s">
        <v>23</v>
      </c>
      <c r="H352" s="1">
        <v>13011</v>
      </c>
      <c r="I352" s="1">
        <v>41.900697999999998</v>
      </c>
      <c r="J352" s="1">
        <v>-87.624178000000001</v>
      </c>
      <c r="K352" s="1">
        <v>41.878998000000003</v>
      </c>
      <c r="L352" s="1">
        <v>-87.639681999999993</v>
      </c>
      <c r="M352" s="1" t="s">
        <v>17</v>
      </c>
      <c r="N352" s="5">
        <f t="shared" si="15"/>
        <v>5.9722222213167697E-3</v>
      </c>
      <c r="O352" s="1">
        <f t="shared" si="16"/>
        <v>3</v>
      </c>
      <c r="P352" s="1" t="str">
        <f t="shared" si="17"/>
        <v>Tue</v>
      </c>
    </row>
    <row r="353" spans="1:16" x14ac:dyDescent="0.25">
      <c r="A353" s="1" t="s">
        <v>389</v>
      </c>
      <c r="B353" s="1" t="s">
        <v>37</v>
      </c>
      <c r="C353" s="2">
        <v>45181.773263888892</v>
      </c>
      <c r="D353" s="2">
        <v>45181.779166666667</v>
      </c>
      <c r="E353" s="1" t="s">
        <v>47</v>
      </c>
      <c r="F353" s="1" t="s">
        <v>48</v>
      </c>
      <c r="G353" s="1" t="s">
        <v>47</v>
      </c>
      <c r="H353" s="1" t="s">
        <v>48</v>
      </c>
      <c r="I353" s="1">
        <v>41.881920999999998</v>
      </c>
      <c r="J353" s="1">
        <v>-87.641073000000006</v>
      </c>
      <c r="K353" s="1">
        <v>41.881824000000002</v>
      </c>
      <c r="L353" s="1">
        <v>-87.641369999999995</v>
      </c>
      <c r="M353" s="1" t="s">
        <v>17</v>
      </c>
      <c r="N353" s="5">
        <f t="shared" si="15"/>
        <v>5.9027777751907706E-3</v>
      </c>
      <c r="O353" s="1">
        <f t="shared" si="16"/>
        <v>3</v>
      </c>
      <c r="P353" s="1" t="str">
        <f t="shared" si="17"/>
        <v>Tue</v>
      </c>
    </row>
    <row r="354" spans="1:16" x14ac:dyDescent="0.25">
      <c r="A354" s="1" t="s">
        <v>390</v>
      </c>
      <c r="B354" s="1" t="s">
        <v>14</v>
      </c>
      <c r="C354" s="2">
        <v>45182.264317129629</v>
      </c>
      <c r="D354" s="2">
        <v>45182.276400462964</v>
      </c>
      <c r="E354" s="1" t="s">
        <v>33</v>
      </c>
      <c r="F354" s="1" t="s">
        <v>34</v>
      </c>
      <c r="G354" s="1" t="s">
        <v>16</v>
      </c>
      <c r="H354" s="1">
        <v>13045</v>
      </c>
      <c r="I354" s="1">
        <v>41.886960999999999</v>
      </c>
      <c r="J354" s="1">
        <v>-87.613163999999998</v>
      </c>
      <c r="K354" s="1">
        <v>41.89414</v>
      </c>
      <c r="L354" s="1">
        <v>-87.629645999999994</v>
      </c>
      <c r="M354" s="1" t="s">
        <v>17</v>
      </c>
      <c r="N354" s="5">
        <f t="shared" si="15"/>
        <v>1.2083333334885538E-2</v>
      </c>
      <c r="O354" s="1">
        <f t="shared" si="16"/>
        <v>4</v>
      </c>
      <c r="P354" s="1" t="str">
        <f t="shared" si="17"/>
        <v>Wed</v>
      </c>
    </row>
    <row r="355" spans="1:16" x14ac:dyDescent="0.25">
      <c r="A355" s="1" t="s">
        <v>391</v>
      </c>
      <c r="B355" s="1" t="s">
        <v>37</v>
      </c>
      <c r="C355" s="2">
        <v>45182.475856481484</v>
      </c>
      <c r="D355" s="2">
        <v>45182.517430555556</v>
      </c>
      <c r="E355" s="1" t="s">
        <v>27</v>
      </c>
      <c r="F355" s="1" t="s">
        <v>28</v>
      </c>
      <c r="G355" s="1" t="s">
        <v>23</v>
      </c>
      <c r="H355" s="1">
        <v>13011</v>
      </c>
      <c r="I355" s="1">
        <v>41.888930999999999</v>
      </c>
      <c r="J355" s="1">
        <v>-87.638992999999999</v>
      </c>
      <c r="K355" s="1">
        <v>41.879294999999999</v>
      </c>
      <c r="L355" s="1">
        <v>-87.639553000000006</v>
      </c>
      <c r="M355" s="1" t="s">
        <v>31</v>
      </c>
      <c r="N355" s="5">
        <f t="shared" si="15"/>
        <v>4.1574074071832001E-2</v>
      </c>
      <c r="O355" s="1">
        <f t="shared" si="16"/>
        <v>4</v>
      </c>
      <c r="P355" s="1" t="str">
        <f t="shared" si="17"/>
        <v>Wed</v>
      </c>
    </row>
    <row r="356" spans="1:16" x14ac:dyDescent="0.25">
      <c r="A356" s="1" t="s">
        <v>392</v>
      </c>
      <c r="B356" s="1" t="s">
        <v>37</v>
      </c>
      <c r="C356" s="2">
        <v>45185.558287037034</v>
      </c>
      <c r="D356" s="2">
        <v>45185.568553240744</v>
      </c>
      <c r="E356" s="1" t="s">
        <v>19</v>
      </c>
      <c r="F356" s="1" t="s">
        <v>20</v>
      </c>
      <c r="G356" s="1" t="s">
        <v>30</v>
      </c>
      <c r="H356" s="1">
        <v>13137</v>
      </c>
      <c r="I356" s="1">
        <v>41.926282999999998</v>
      </c>
      <c r="J356" s="1">
        <v>-87.630555999999999</v>
      </c>
      <c r="K356" s="1">
        <v>41.937939999999998</v>
      </c>
      <c r="L356" s="1">
        <v>-87.643753000000004</v>
      </c>
      <c r="M356" s="1" t="s">
        <v>31</v>
      </c>
      <c r="N356" s="5">
        <f t="shared" si="15"/>
        <v>1.0266203709761612E-2</v>
      </c>
      <c r="O356" s="1">
        <f t="shared" si="16"/>
        <v>7</v>
      </c>
      <c r="P356" s="1" t="str">
        <f t="shared" si="17"/>
        <v>Sat</v>
      </c>
    </row>
    <row r="357" spans="1:16" x14ac:dyDescent="0.25">
      <c r="A357" s="1" t="s">
        <v>393</v>
      </c>
      <c r="B357" s="1" t="s">
        <v>14</v>
      </c>
      <c r="C357" s="2">
        <v>45186.102141203701</v>
      </c>
      <c r="D357" s="2">
        <v>45186.105624999997</v>
      </c>
      <c r="E357" s="1" t="s">
        <v>47</v>
      </c>
      <c r="F357" s="1" t="s">
        <v>48</v>
      </c>
      <c r="G357" s="1" t="s">
        <v>47</v>
      </c>
      <c r="H357" s="1" t="s">
        <v>48</v>
      </c>
      <c r="I357" s="1">
        <v>41.882275999999997</v>
      </c>
      <c r="J357" s="1">
        <v>-87.641424000000001</v>
      </c>
      <c r="K357" s="1">
        <v>41.881754000000001</v>
      </c>
      <c r="L357" s="1">
        <v>-87.641143999999997</v>
      </c>
      <c r="M357" s="1" t="s">
        <v>17</v>
      </c>
      <c r="N357" s="5">
        <f t="shared" si="15"/>
        <v>3.4837962957681157E-3</v>
      </c>
      <c r="O357" s="1">
        <f t="shared" si="16"/>
        <v>1</v>
      </c>
      <c r="P357" s="1" t="str">
        <f t="shared" si="17"/>
        <v>Sun</v>
      </c>
    </row>
    <row r="358" spans="1:16" x14ac:dyDescent="0.25">
      <c r="A358" s="1" t="s">
        <v>394</v>
      </c>
      <c r="B358" s="1" t="s">
        <v>14</v>
      </c>
      <c r="C358" s="2">
        <v>45186.920219907406</v>
      </c>
      <c r="D358" s="2">
        <v>45186.927743055552</v>
      </c>
      <c r="E358" s="1" t="s">
        <v>66</v>
      </c>
      <c r="F358" s="1">
        <v>13042</v>
      </c>
      <c r="G358" s="1" t="s">
        <v>66</v>
      </c>
      <c r="H358" s="1">
        <v>13042</v>
      </c>
      <c r="I358" s="1">
        <v>41.900601999999999</v>
      </c>
      <c r="J358" s="1">
        <v>-87.624223999999998</v>
      </c>
      <c r="K358" s="1">
        <v>41.901085999999999</v>
      </c>
      <c r="L358" s="1">
        <v>-87.624222000000003</v>
      </c>
      <c r="M358" s="1" t="s">
        <v>17</v>
      </c>
      <c r="N358" s="5">
        <f t="shared" si="15"/>
        <v>7.5231481459923089E-3</v>
      </c>
      <c r="O358" s="1">
        <f t="shared" si="16"/>
        <v>1</v>
      </c>
      <c r="P358" s="1" t="str">
        <f t="shared" si="17"/>
        <v>Sun</v>
      </c>
    </row>
    <row r="359" spans="1:16" x14ac:dyDescent="0.25">
      <c r="A359" s="1" t="s">
        <v>395</v>
      </c>
      <c r="B359" s="1" t="s">
        <v>37</v>
      </c>
      <c r="C359" s="2">
        <v>45188.482847222222</v>
      </c>
      <c r="D359" s="2">
        <v>45188.502604166664</v>
      </c>
      <c r="E359" s="1" t="s">
        <v>35</v>
      </c>
      <c r="F359" s="1">
        <v>13022</v>
      </c>
      <c r="G359" s="1" t="s">
        <v>35</v>
      </c>
      <c r="H359" s="1">
        <v>13022</v>
      </c>
      <c r="I359" s="1">
        <v>41.891938000000003</v>
      </c>
      <c r="J359" s="1">
        <v>-87.612209000000007</v>
      </c>
      <c r="K359" s="1">
        <v>41.892017000000003</v>
      </c>
      <c r="L359" s="1">
        <v>-87.611613000000006</v>
      </c>
      <c r="M359" s="1" t="s">
        <v>17</v>
      </c>
      <c r="N359" s="5">
        <f t="shared" si="15"/>
        <v>1.9756944442633539E-2</v>
      </c>
      <c r="O359" s="1">
        <f t="shared" si="16"/>
        <v>3</v>
      </c>
      <c r="P359" s="1" t="str">
        <f t="shared" si="17"/>
        <v>Tue</v>
      </c>
    </row>
    <row r="360" spans="1:16" x14ac:dyDescent="0.25">
      <c r="A360" s="1" t="s">
        <v>396</v>
      </c>
      <c r="B360" s="1" t="s">
        <v>14</v>
      </c>
      <c r="C360" s="2">
        <v>45189.518495370372</v>
      </c>
      <c r="D360" s="2">
        <v>45189.533356481479</v>
      </c>
      <c r="E360" s="1" t="s">
        <v>23</v>
      </c>
      <c r="F360" s="1">
        <v>13011</v>
      </c>
      <c r="G360" s="1" t="s">
        <v>24</v>
      </c>
      <c r="H360" s="1">
        <v>13263</v>
      </c>
      <c r="I360" s="1">
        <v>41.879092</v>
      </c>
      <c r="J360" s="1">
        <v>-87.639461999999995</v>
      </c>
      <c r="K360" s="1">
        <v>41.884757999999998</v>
      </c>
      <c r="L360" s="1">
        <v>-87.619288999999995</v>
      </c>
      <c r="M360" s="1" t="s">
        <v>31</v>
      </c>
      <c r="N360" s="5">
        <f t="shared" si="15"/>
        <v>1.4861111107165925E-2</v>
      </c>
      <c r="O360" s="1">
        <f t="shared" si="16"/>
        <v>4</v>
      </c>
      <c r="P360" s="1" t="str">
        <f t="shared" si="17"/>
        <v>Wed</v>
      </c>
    </row>
    <row r="361" spans="1:16" x14ac:dyDescent="0.25">
      <c r="A361" s="1" t="s">
        <v>397</v>
      </c>
      <c r="B361" s="1" t="s">
        <v>37</v>
      </c>
      <c r="C361" s="2">
        <v>45189.921550925923</v>
      </c>
      <c r="D361" s="2">
        <v>45189.932962962965</v>
      </c>
      <c r="E361" s="1" t="s">
        <v>33</v>
      </c>
      <c r="F361" s="1" t="s">
        <v>34</v>
      </c>
      <c r="G361" s="1" t="s">
        <v>33</v>
      </c>
      <c r="H361" s="1" t="s">
        <v>34</v>
      </c>
      <c r="I361" s="1">
        <v>41.886983000000001</v>
      </c>
      <c r="J361" s="1">
        <v>-87.612714999999994</v>
      </c>
      <c r="K361" s="1">
        <v>41.886508999999997</v>
      </c>
      <c r="L361" s="1">
        <v>-87.612949</v>
      </c>
      <c r="M361" s="1" t="s">
        <v>31</v>
      </c>
      <c r="N361" s="5">
        <f t="shared" si="15"/>
        <v>1.1412037041736767E-2</v>
      </c>
      <c r="O361" s="1">
        <f t="shared" si="16"/>
        <v>4</v>
      </c>
      <c r="P361" s="1" t="str">
        <f t="shared" si="17"/>
        <v>Wed</v>
      </c>
    </row>
    <row r="362" spans="1:16" x14ac:dyDescent="0.25">
      <c r="A362" s="1" t="s">
        <v>398</v>
      </c>
      <c r="B362" s="1" t="s">
        <v>37</v>
      </c>
      <c r="C362" s="2">
        <v>45190.688715277778</v>
      </c>
      <c r="D362" s="2">
        <v>45190.704814814817</v>
      </c>
      <c r="E362" s="1" t="s">
        <v>66</v>
      </c>
      <c r="F362" s="1">
        <v>13042</v>
      </c>
      <c r="G362" s="1" t="s">
        <v>23</v>
      </c>
      <c r="H362" s="1">
        <v>13011</v>
      </c>
      <c r="I362" s="1">
        <v>41.901038999999997</v>
      </c>
      <c r="J362" s="1">
        <v>-87.623839000000004</v>
      </c>
      <c r="K362" s="1">
        <v>41.879427</v>
      </c>
      <c r="L362" s="1">
        <v>-87.640075999999993</v>
      </c>
      <c r="M362" s="1" t="s">
        <v>17</v>
      </c>
      <c r="N362" s="5">
        <f t="shared" si="15"/>
        <v>1.6099537038826384E-2</v>
      </c>
      <c r="O362" s="1">
        <f t="shared" si="16"/>
        <v>5</v>
      </c>
      <c r="P362" s="1" t="str">
        <f t="shared" si="17"/>
        <v>Thu</v>
      </c>
    </row>
    <row r="363" spans="1:16" x14ac:dyDescent="0.25">
      <c r="A363" s="1" t="s">
        <v>399</v>
      </c>
      <c r="B363" s="1" t="s">
        <v>14</v>
      </c>
      <c r="C363" s="2">
        <v>45191.555231481485</v>
      </c>
      <c r="D363" s="2">
        <v>45191.563148148147</v>
      </c>
      <c r="E363" s="1" t="s">
        <v>24</v>
      </c>
      <c r="F363" s="1">
        <v>13263</v>
      </c>
      <c r="G363" s="1" t="s">
        <v>66</v>
      </c>
      <c r="H363" s="1">
        <v>13042</v>
      </c>
      <c r="I363" s="1">
        <v>41.884453999999998</v>
      </c>
      <c r="J363" s="1">
        <v>-87.619291000000004</v>
      </c>
      <c r="K363" s="1">
        <v>41.901058999999997</v>
      </c>
      <c r="L363" s="1">
        <v>-87.624212999999997</v>
      </c>
      <c r="M363" s="1" t="s">
        <v>17</v>
      </c>
      <c r="N363" s="5">
        <f t="shared" si="15"/>
        <v>7.916666661913041E-3</v>
      </c>
      <c r="O363" s="1">
        <f t="shared" si="16"/>
        <v>6</v>
      </c>
      <c r="P363" s="1" t="str">
        <f t="shared" si="17"/>
        <v>Fri</v>
      </c>
    </row>
    <row r="364" spans="1:16" x14ac:dyDescent="0.25">
      <c r="A364" s="1" t="s">
        <v>400</v>
      </c>
      <c r="B364" s="1" t="s">
        <v>37</v>
      </c>
      <c r="C364" s="2">
        <v>45192.215578703705</v>
      </c>
      <c r="D364" s="2">
        <v>45192.244050925925</v>
      </c>
      <c r="E364" s="1" t="s">
        <v>43</v>
      </c>
      <c r="F364" s="1" t="s">
        <v>44</v>
      </c>
      <c r="G364" s="1" t="s">
        <v>35</v>
      </c>
      <c r="H364" s="1">
        <v>13022</v>
      </c>
      <c r="I364" s="1">
        <v>41.903357</v>
      </c>
      <c r="J364" s="1">
        <v>-87.634732999999997</v>
      </c>
      <c r="K364" s="1">
        <v>41.891810999999997</v>
      </c>
      <c r="L364" s="1">
        <v>-87.612485000000007</v>
      </c>
      <c r="M364" s="1" t="s">
        <v>17</v>
      </c>
      <c r="N364" s="5">
        <f t="shared" si="15"/>
        <v>2.8472222220443655E-2</v>
      </c>
      <c r="O364" s="1">
        <f t="shared" si="16"/>
        <v>7</v>
      </c>
      <c r="P364" s="1" t="str">
        <f t="shared" si="17"/>
        <v>Sat</v>
      </c>
    </row>
    <row r="365" spans="1:16" x14ac:dyDescent="0.25">
      <c r="A365" s="1" t="s">
        <v>401</v>
      </c>
      <c r="B365" s="1" t="s">
        <v>26</v>
      </c>
      <c r="C365" s="2">
        <v>45193.795613425929</v>
      </c>
      <c r="D365" s="2">
        <v>45193.812708333331</v>
      </c>
      <c r="E365" s="1" t="s">
        <v>33</v>
      </c>
      <c r="F365" s="1" t="s">
        <v>34</v>
      </c>
      <c r="G365" s="1" t="s">
        <v>19</v>
      </c>
      <c r="H365" s="1" t="s">
        <v>20</v>
      </c>
      <c r="I365" s="1">
        <v>41.886727999999998</v>
      </c>
      <c r="J365" s="1">
        <v>-87.613005000000001</v>
      </c>
      <c r="K365" s="1">
        <v>41.926391000000002</v>
      </c>
      <c r="L365" s="1">
        <v>-87.630436000000003</v>
      </c>
      <c r="M365" s="1" t="s">
        <v>17</v>
      </c>
      <c r="N365" s="5">
        <f t="shared" si="15"/>
        <v>1.7094907401769888E-2</v>
      </c>
      <c r="O365" s="1">
        <f t="shared" si="16"/>
        <v>1</v>
      </c>
      <c r="P365" s="1" t="str">
        <f t="shared" si="17"/>
        <v>Sun</v>
      </c>
    </row>
    <row r="366" spans="1:16" x14ac:dyDescent="0.25">
      <c r="A366" s="1" t="s">
        <v>402</v>
      </c>
      <c r="B366" s="1" t="s">
        <v>14</v>
      </c>
      <c r="C366" s="2">
        <v>45196.304872685185</v>
      </c>
      <c r="D366" s="2">
        <v>45196.30878472222</v>
      </c>
      <c r="E366" s="1" t="s">
        <v>30</v>
      </c>
      <c r="F366" s="1">
        <v>13137</v>
      </c>
      <c r="G366" s="1" t="s">
        <v>19</v>
      </c>
      <c r="H366" s="1" t="s">
        <v>20</v>
      </c>
      <c r="I366" s="1">
        <v>41.937842000000003</v>
      </c>
      <c r="J366" s="1">
        <v>-87.643876000000006</v>
      </c>
      <c r="K366" s="1">
        <v>41.925784</v>
      </c>
      <c r="L366" s="1">
        <v>-87.630825000000002</v>
      </c>
      <c r="M366" s="1" t="s">
        <v>17</v>
      </c>
      <c r="N366" s="5">
        <f t="shared" si="15"/>
        <v>3.9120370347518474E-3</v>
      </c>
      <c r="O366" s="1">
        <f t="shared" si="16"/>
        <v>4</v>
      </c>
      <c r="P366" s="1" t="str">
        <f t="shared" si="17"/>
        <v>Wed</v>
      </c>
    </row>
    <row r="367" spans="1:16" x14ac:dyDescent="0.25">
      <c r="A367" s="3" t="s">
        <v>403</v>
      </c>
      <c r="B367" s="1" t="s">
        <v>14</v>
      </c>
      <c r="C367" s="2">
        <v>45196.887199074074</v>
      </c>
      <c r="D367" s="2">
        <v>45196.894189814811</v>
      </c>
      <c r="E367" s="1" t="s">
        <v>66</v>
      </c>
      <c r="F367" s="1">
        <v>13042</v>
      </c>
      <c r="G367" s="1" t="s">
        <v>16</v>
      </c>
      <c r="H367" s="1">
        <v>13045</v>
      </c>
      <c r="I367" s="1">
        <v>41.901367999999998</v>
      </c>
      <c r="J367" s="1">
        <v>-87.623960999999994</v>
      </c>
      <c r="K367" s="1">
        <v>41.894080000000002</v>
      </c>
      <c r="L367" s="1">
        <v>-87.629135000000005</v>
      </c>
      <c r="M367" s="1" t="s">
        <v>31</v>
      </c>
      <c r="N367" s="5">
        <f t="shared" si="15"/>
        <v>6.9907407378195785E-3</v>
      </c>
      <c r="O367" s="1">
        <f t="shared" si="16"/>
        <v>4</v>
      </c>
      <c r="P367" s="1" t="str">
        <f t="shared" si="17"/>
        <v>Wed</v>
      </c>
    </row>
    <row r="368" spans="1:16" x14ac:dyDescent="0.25">
      <c r="A368" s="1" t="s">
        <v>404</v>
      </c>
      <c r="B368" s="1" t="s">
        <v>14</v>
      </c>
      <c r="C368" s="2">
        <v>45197.418229166666</v>
      </c>
      <c r="D368" s="2">
        <v>45197.421423611115</v>
      </c>
      <c r="E368" s="1" t="s">
        <v>66</v>
      </c>
      <c r="F368" s="1">
        <v>13042</v>
      </c>
      <c r="G368" s="1" t="s">
        <v>27</v>
      </c>
      <c r="H368" s="1" t="s">
        <v>28</v>
      </c>
      <c r="I368" s="1">
        <v>41.901432999999997</v>
      </c>
      <c r="J368" s="1">
        <v>-87.623294000000001</v>
      </c>
      <c r="K368" s="1">
        <v>41.889170999999997</v>
      </c>
      <c r="L368" s="1">
        <v>-87.638137</v>
      </c>
      <c r="M368" s="1" t="s">
        <v>17</v>
      </c>
      <c r="N368" s="5">
        <f t="shared" si="15"/>
        <v>3.1944444490363821E-3</v>
      </c>
      <c r="O368" s="1">
        <f t="shared" si="16"/>
        <v>5</v>
      </c>
      <c r="P368" s="1" t="str">
        <f t="shared" si="17"/>
        <v>Thu</v>
      </c>
    </row>
    <row r="369" spans="1:16" x14ac:dyDescent="0.25">
      <c r="A369" s="1" t="s">
        <v>405</v>
      </c>
      <c r="B369" s="1" t="s">
        <v>37</v>
      </c>
      <c r="C369" s="2">
        <v>45197.780185185184</v>
      </c>
      <c r="D369" s="2">
        <v>45197.796458333331</v>
      </c>
      <c r="E369" s="1" t="s">
        <v>16</v>
      </c>
      <c r="F369" s="1">
        <v>13045</v>
      </c>
      <c r="G369" s="1" t="s">
        <v>23</v>
      </c>
      <c r="H369" s="1">
        <v>13011</v>
      </c>
      <c r="I369" s="1">
        <v>41.894105000000003</v>
      </c>
      <c r="J369" s="1">
        <v>-87.629180000000005</v>
      </c>
      <c r="K369" s="1">
        <v>41.878996999999998</v>
      </c>
      <c r="L369" s="1">
        <v>-87.639690000000002</v>
      </c>
      <c r="M369" s="1" t="s">
        <v>31</v>
      </c>
      <c r="N369" s="5">
        <f t="shared" si="15"/>
        <v>1.6273148146865424E-2</v>
      </c>
      <c r="O369" s="1">
        <f t="shared" si="16"/>
        <v>5</v>
      </c>
      <c r="P369" s="1" t="str">
        <f t="shared" si="17"/>
        <v>Thu</v>
      </c>
    </row>
    <row r="370" spans="1:16" x14ac:dyDescent="0.25">
      <c r="A370" s="1" t="s">
        <v>406</v>
      </c>
      <c r="B370" s="1" t="s">
        <v>14</v>
      </c>
      <c r="C370" s="2">
        <v>45197.861493055556</v>
      </c>
      <c r="D370" s="2">
        <v>45197.88040509259</v>
      </c>
      <c r="E370" s="1" t="s">
        <v>16</v>
      </c>
      <c r="F370" s="1">
        <v>13045</v>
      </c>
      <c r="G370" s="1" t="s">
        <v>21</v>
      </c>
      <c r="H370" s="1">
        <v>21213</v>
      </c>
      <c r="I370" s="1">
        <v>41.894419999999997</v>
      </c>
      <c r="J370" s="1">
        <v>-87.629653000000005</v>
      </c>
      <c r="K370" s="1">
        <v>41.834235999999997</v>
      </c>
      <c r="L370" s="1">
        <v>-87.625328999999994</v>
      </c>
      <c r="M370" s="1" t="s">
        <v>31</v>
      </c>
      <c r="N370" s="5">
        <f t="shared" si="15"/>
        <v>1.8912037034169771E-2</v>
      </c>
      <c r="O370" s="1">
        <f t="shared" si="16"/>
        <v>5</v>
      </c>
      <c r="P370" s="1" t="str">
        <f t="shared" si="17"/>
        <v>Thu</v>
      </c>
    </row>
    <row r="371" spans="1:16" x14ac:dyDescent="0.25">
      <c r="A371" s="1" t="s">
        <v>407</v>
      </c>
      <c r="B371" s="1" t="s">
        <v>14</v>
      </c>
      <c r="C371" s="2">
        <v>45200.048125000001</v>
      </c>
      <c r="D371" s="2">
        <v>45200.056076388886</v>
      </c>
      <c r="E371" s="1" t="s">
        <v>33</v>
      </c>
      <c r="F371" s="1" t="s">
        <v>34</v>
      </c>
      <c r="G371" s="1" t="s">
        <v>41</v>
      </c>
      <c r="H371" s="1" t="s">
        <v>42</v>
      </c>
      <c r="I371" s="1">
        <v>41.887360999999999</v>
      </c>
      <c r="J371" s="1">
        <v>-87.612573999999995</v>
      </c>
      <c r="K371" s="1">
        <v>41.902749999999997</v>
      </c>
      <c r="L371" s="1">
        <v>-87.631497999999993</v>
      </c>
      <c r="M371" s="1" t="s">
        <v>31</v>
      </c>
      <c r="N371" s="5">
        <f t="shared" si="15"/>
        <v>7.9513888849760406E-3</v>
      </c>
      <c r="O371" s="1">
        <f t="shared" si="16"/>
        <v>1</v>
      </c>
      <c r="P371" s="1" t="str">
        <f t="shared" si="17"/>
        <v>Sun</v>
      </c>
    </row>
    <row r="372" spans="1:16" x14ac:dyDescent="0.25">
      <c r="A372" s="1" t="s">
        <v>408</v>
      </c>
      <c r="B372" s="1" t="s">
        <v>14</v>
      </c>
      <c r="C372" s="2">
        <v>45200.084108796298</v>
      </c>
      <c r="D372" s="2">
        <v>45200.108229166668</v>
      </c>
      <c r="E372" s="1" t="s">
        <v>57</v>
      </c>
      <c r="F372" s="1" t="s">
        <v>58</v>
      </c>
      <c r="G372" s="1" t="s">
        <v>30</v>
      </c>
      <c r="H372" s="1">
        <v>13137</v>
      </c>
      <c r="I372" s="1">
        <v>41.912557999999997</v>
      </c>
      <c r="J372" s="1">
        <v>-87.634370000000004</v>
      </c>
      <c r="K372" s="1">
        <v>41.937671999999999</v>
      </c>
      <c r="L372" s="1">
        <v>-87.644592000000003</v>
      </c>
      <c r="M372" s="1" t="s">
        <v>17</v>
      </c>
      <c r="N372" s="5">
        <f t="shared" si="15"/>
        <v>2.4120370369928423E-2</v>
      </c>
      <c r="O372" s="1">
        <f t="shared" si="16"/>
        <v>1</v>
      </c>
      <c r="P372" s="1" t="str">
        <f t="shared" si="17"/>
        <v>Sun</v>
      </c>
    </row>
    <row r="373" spans="1:16" x14ac:dyDescent="0.25">
      <c r="A373" s="1" t="s">
        <v>409</v>
      </c>
      <c r="B373" s="1" t="s">
        <v>14</v>
      </c>
      <c r="C373" s="2">
        <v>45200.116342592592</v>
      </c>
      <c r="D373" s="2">
        <v>45200.120428240742</v>
      </c>
      <c r="E373" s="1" t="s">
        <v>57</v>
      </c>
      <c r="F373" s="1" t="s">
        <v>58</v>
      </c>
      <c r="G373" s="1" t="s">
        <v>57</v>
      </c>
      <c r="H373" s="1" t="s">
        <v>58</v>
      </c>
      <c r="I373" s="1">
        <v>41.912053</v>
      </c>
      <c r="J373" s="1">
        <v>-87.634900000000002</v>
      </c>
      <c r="K373" s="1">
        <v>41.912244999999999</v>
      </c>
      <c r="L373" s="1">
        <v>-87.635074000000003</v>
      </c>
      <c r="M373" s="1" t="s">
        <v>17</v>
      </c>
      <c r="N373" s="5">
        <f t="shared" si="15"/>
        <v>4.0856481500668451E-3</v>
      </c>
      <c r="O373" s="1">
        <f t="shared" si="16"/>
        <v>1</v>
      </c>
      <c r="P373" s="1" t="str">
        <f t="shared" si="17"/>
        <v>Sun</v>
      </c>
    </row>
    <row r="374" spans="1:16" x14ac:dyDescent="0.25">
      <c r="A374" s="1" t="s">
        <v>410</v>
      </c>
      <c r="B374" s="1" t="s">
        <v>14</v>
      </c>
      <c r="C374" s="2">
        <v>45200.472777777781</v>
      </c>
      <c r="D374" s="2">
        <v>45200.476921296293</v>
      </c>
      <c r="E374" s="1" t="s">
        <v>27</v>
      </c>
      <c r="F374" s="1" t="s">
        <v>28</v>
      </c>
      <c r="G374" s="1" t="s">
        <v>27</v>
      </c>
      <c r="H374" s="1" t="s">
        <v>28</v>
      </c>
      <c r="I374" s="1">
        <v>41.888708000000001</v>
      </c>
      <c r="J374" s="1">
        <v>-87.638035000000002</v>
      </c>
      <c r="K374" s="1">
        <v>41.889451000000001</v>
      </c>
      <c r="L374" s="1">
        <v>-87.638025999999996</v>
      </c>
      <c r="M374" s="1" t="s">
        <v>17</v>
      </c>
      <c r="N374" s="5">
        <f t="shared" si="15"/>
        <v>4.1435185121372342E-3</v>
      </c>
      <c r="O374" s="1">
        <f t="shared" si="16"/>
        <v>1</v>
      </c>
      <c r="P374" s="1" t="str">
        <f t="shared" si="17"/>
        <v>Sun</v>
      </c>
    </row>
    <row r="375" spans="1:16" x14ac:dyDescent="0.25">
      <c r="A375" s="1" t="s">
        <v>411</v>
      </c>
      <c r="B375" s="1" t="s">
        <v>26</v>
      </c>
      <c r="C375" s="2">
        <v>45201.386041666665</v>
      </c>
      <c r="D375" s="2">
        <v>45201.391585648147</v>
      </c>
      <c r="E375" s="1" t="s">
        <v>21</v>
      </c>
      <c r="F375" s="1">
        <v>21213</v>
      </c>
      <c r="G375" s="1" t="s">
        <v>23</v>
      </c>
      <c r="H375" s="1">
        <v>13011</v>
      </c>
      <c r="I375" s="1">
        <v>41.835037999999997</v>
      </c>
      <c r="J375" s="1">
        <v>-87.625446999999994</v>
      </c>
      <c r="K375" s="1">
        <v>41.878815000000003</v>
      </c>
      <c r="L375" s="1">
        <v>-87.639712000000003</v>
      </c>
      <c r="M375" s="1" t="s">
        <v>17</v>
      </c>
      <c r="N375" s="5">
        <f t="shared" si="15"/>
        <v>5.543981482333038E-3</v>
      </c>
      <c r="O375" s="1">
        <f t="shared" si="16"/>
        <v>2</v>
      </c>
      <c r="P375" s="1" t="str">
        <f t="shared" si="17"/>
        <v>Mon</v>
      </c>
    </row>
    <row r="376" spans="1:16" x14ac:dyDescent="0.25">
      <c r="A376" s="1" t="s">
        <v>412</v>
      </c>
      <c r="B376" s="1" t="s">
        <v>26</v>
      </c>
      <c r="C376" s="2">
        <v>45201.530081018522</v>
      </c>
      <c r="D376" s="2">
        <v>45201.601064814815</v>
      </c>
      <c r="E376" s="1" t="s">
        <v>27</v>
      </c>
      <c r="F376" s="1" t="s">
        <v>28</v>
      </c>
      <c r="G376" s="1" t="s">
        <v>23</v>
      </c>
      <c r="H376" s="1">
        <v>13011</v>
      </c>
      <c r="I376" s="1">
        <v>41.889505999999997</v>
      </c>
      <c r="J376" s="1">
        <v>-87.638723999999996</v>
      </c>
      <c r="K376" s="1">
        <v>41.879627999999997</v>
      </c>
      <c r="L376" s="1">
        <v>-87.640291000000005</v>
      </c>
      <c r="M376" s="1" t="s">
        <v>31</v>
      </c>
      <c r="N376" s="5">
        <f t="shared" si="15"/>
        <v>7.0983796293148771E-2</v>
      </c>
      <c r="O376" s="1">
        <f t="shared" si="16"/>
        <v>2</v>
      </c>
      <c r="P376" s="1" t="str">
        <f t="shared" si="17"/>
        <v>Mon</v>
      </c>
    </row>
    <row r="377" spans="1:16" x14ac:dyDescent="0.25">
      <c r="A377" s="1" t="s">
        <v>413</v>
      </c>
      <c r="B377" s="1" t="s">
        <v>37</v>
      </c>
      <c r="C377" s="2">
        <v>45204.047418981485</v>
      </c>
      <c r="D377" s="2">
        <v>45204.052523148152</v>
      </c>
      <c r="E377" s="1" t="s">
        <v>41</v>
      </c>
      <c r="F377" s="1" t="s">
        <v>42</v>
      </c>
      <c r="G377" s="1" t="s">
        <v>41</v>
      </c>
      <c r="H377" s="1" t="s">
        <v>42</v>
      </c>
      <c r="I377" s="1">
        <v>41.902934000000002</v>
      </c>
      <c r="J377" s="1">
        <v>-87.631574000000001</v>
      </c>
      <c r="K377" s="1">
        <v>41.902836999999998</v>
      </c>
      <c r="L377" s="1">
        <v>-87.631276999999997</v>
      </c>
      <c r="M377" s="1" t="s">
        <v>17</v>
      </c>
      <c r="N377" s="5">
        <f t="shared" si="15"/>
        <v>5.1041666665696539E-3</v>
      </c>
      <c r="O377" s="1">
        <f t="shared" si="16"/>
        <v>5</v>
      </c>
      <c r="P377" s="1" t="str">
        <f t="shared" si="17"/>
        <v>Thu</v>
      </c>
    </row>
    <row r="378" spans="1:16" x14ac:dyDescent="0.25">
      <c r="A378" s="1" t="s">
        <v>414</v>
      </c>
      <c r="B378" s="1" t="s">
        <v>14</v>
      </c>
      <c r="C378" s="2">
        <v>45204.185428240744</v>
      </c>
      <c r="D378" s="2">
        <v>45204.196238425924</v>
      </c>
      <c r="E378" s="1" t="s">
        <v>30</v>
      </c>
      <c r="F378" s="1">
        <v>13137</v>
      </c>
      <c r="G378" s="1" t="s">
        <v>24</v>
      </c>
      <c r="H378" s="1">
        <v>13263</v>
      </c>
      <c r="I378" s="1">
        <v>41.937091000000002</v>
      </c>
      <c r="J378" s="1">
        <v>-87.643600000000006</v>
      </c>
      <c r="K378" s="1">
        <v>41.884905000000003</v>
      </c>
      <c r="L378" s="1">
        <v>-87.619192999999996</v>
      </c>
      <c r="M378" s="1" t="s">
        <v>31</v>
      </c>
      <c r="N378" s="5">
        <f t="shared" si="15"/>
        <v>1.081018518016208E-2</v>
      </c>
      <c r="O378" s="1">
        <f t="shared" si="16"/>
        <v>5</v>
      </c>
      <c r="P378" s="1" t="str">
        <f t="shared" si="17"/>
        <v>Thu</v>
      </c>
    </row>
    <row r="379" spans="1:16" x14ac:dyDescent="0.25">
      <c r="A379" s="1" t="s">
        <v>415</v>
      </c>
      <c r="B379" s="1" t="s">
        <v>14</v>
      </c>
      <c r="C379" s="2">
        <v>45204.579108796293</v>
      </c>
      <c r="D379" s="2">
        <v>45204.584293981483</v>
      </c>
      <c r="E379" s="1" t="s">
        <v>15</v>
      </c>
      <c r="F379" s="1">
        <v>13008</v>
      </c>
      <c r="G379" s="1" t="s">
        <v>21</v>
      </c>
      <c r="H379" s="1">
        <v>21213</v>
      </c>
      <c r="I379" s="1">
        <v>41.881095000000002</v>
      </c>
      <c r="J379" s="1">
        <v>-87.624155999999999</v>
      </c>
      <c r="K379" s="1">
        <v>41.834560000000003</v>
      </c>
      <c r="L379" s="1">
        <v>-87.625473</v>
      </c>
      <c r="M379" s="1" t="s">
        <v>17</v>
      </c>
      <c r="N379" s="5">
        <f t="shared" si="15"/>
        <v>5.1851851894753054E-3</v>
      </c>
      <c r="O379" s="1">
        <f t="shared" si="16"/>
        <v>5</v>
      </c>
      <c r="P379" s="1" t="str">
        <f t="shared" si="17"/>
        <v>Thu</v>
      </c>
    </row>
    <row r="380" spans="1:16" x14ac:dyDescent="0.25">
      <c r="A380" s="1" t="s">
        <v>416</v>
      </c>
      <c r="B380" s="1" t="s">
        <v>14</v>
      </c>
      <c r="C380" s="2">
        <v>45204.64334490741</v>
      </c>
      <c r="D380" s="2">
        <v>45204.649004629631</v>
      </c>
      <c r="E380" s="1" t="s">
        <v>43</v>
      </c>
      <c r="F380" s="1" t="s">
        <v>44</v>
      </c>
      <c r="G380" s="1" t="s">
        <v>21</v>
      </c>
      <c r="H380" s="1">
        <v>21213</v>
      </c>
      <c r="I380" s="1">
        <v>41.902808999999998</v>
      </c>
      <c r="J380" s="1">
        <v>-87.634621999999993</v>
      </c>
      <c r="K380" s="1">
        <v>41.834778999999997</v>
      </c>
      <c r="L380" s="1">
        <v>-87.626105999999993</v>
      </c>
      <c r="M380" s="1" t="s">
        <v>17</v>
      </c>
      <c r="N380" s="5">
        <f t="shared" si="15"/>
        <v>5.6597222210257314E-3</v>
      </c>
      <c r="O380" s="1">
        <f t="shared" si="16"/>
        <v>5</v>
      </c>
      <c r="P380" s="1" t="str">
        <f t="shared" si="17"/>
        <v>Thu</v>
      </c>
    </row>
    <row r="381" spans="1:16" x14ac:dyDescent="0.25">
      <c r="A381" s="3" t="s">
        <v>417</v>
      </c>
      <c r="B381" s="1" t="s">
        <v>14</v>
      </c>
      <c r="C381" s="2">
        <v>45204.728275462963</v>
      </c>
      <c r="D381" s="2">
        <v>45204.73300925926</v>
      </c>
      <c r="E381" s="1" t="s">
        <v>47</v>
      </c>
      <c r="F381" s="1" t="s">
        <v>48</v>
      </c>
      <c r="G381" s="1" t="s">
        <v>47</v>
      </c>
      <c r="H381" s="1" t="s">
        <v>48</v>
      </c>
      <c r="I381" s="1">
        <v>41.882607</v>
      </c>
      <c r="J381" s="1">
        <v>-87.641446999999999</v>
      </c>
      <c r="K381" s="1">
        <v>41.881914000000002</v>
      </c>
      <c r="L381" s="1">
        <v>-87.641088999999994</v>
      </c>
      <c r="M381" s="1" t="s">
        <v>31</v>
      </c>
      <c r="N381" s="5">
        <f t="shared" si="15"/>
        <v>4.7337962969322689E-3</v>
      </c>
      <c r="O381" s="1">
        <f t="shared" si="16"/>
        <v>5</v>
      </c>
      <c r="P381" s="1" t="str">
        <f t="shared" si="17"/>
        <v>Thu</v>
      </c>
    </row>
    <row r="382" spans="1:16" x14ac:dyDescent="0.25">
      <c r="A382" s="1" t="s">
        <v>418</v>
      </c>
      <c r="B382" s="1" t="s">
        <v>14</v>
      </c>
      <c r="C382" s="2">
        <v>45204.988263888888</v>
      </c>
      <c r="D382" s="2">
        <v>45204.994791666664</v>
      </c>
      <c r="E382" s="1" t="s">
        <v>47</v>
      </c>
      <c r="F382" s="1" t="s">
        <v>48</v>
      </c>
      <c r="G382" s="1" t="s">
        <v>16</v>
      </c>
      <c r="H382" s="1">
        <v>13045</v>
      </c>
      <c r="I382" s="1">
        <v>41.88252</v>
      </c>
      <c r="J382" s="1">
        <v>-87.641345999999999</v>
      </c>
      <c r="K382" s="1">
        <v>41.893656999999997</v>
      </c>
      <c r="L382" s="1">
        <v>-87.629412000000002</v>
      </c>
      <c r="M382" s="1" t="s">
        <v>31</v>
      </c>
      <c r="N382" s="5">
        <f t="shared" si="15"/>
        <v>6.5277777757728472E-3</v>
      </c>
      <c r="O382" s="1">
        <f t="shared" si="16"/>
        <v>5</v>
      </c>
      <c r="P382" s="1" t="str">
        <f t="shared" si="17"/>
        <v>Thu</v>
      </c>
    </row>
    <row r="383" spans="1:16" x14ac:dyDescent="0.25">
      <c r="A383" s="1" t="s">
        <v>419</v>
      </c>
      <c r="B383" s="1" t="s">
        <v>14</v>
      </c>
      <c r="C383" s="2">
        <v>45205.373900462961</v>
      </c>
      <c r="D383" s="2">
        <v>45205.390879629631</v>
      </c>
      <c r="E383" s="1" t="s">
        <v>30</v>
      </c>
      <c r="F383" s="1">
        <v>13137</v>
      </c>
      <c r="G383" s="1" t="s">
        <v>30</v>
      </c>
      <c r="H383" s="1">
        <v>13137</v>
      </c>
      <c r="I383" s="1">
        <v>41.937958000000002</v>
      </c>
      <c r="J383" s="1">
        <v>-87.643815000000004</v>
      </c>
      <c r="K383" s="1">
        <v>41.937249999999999</v>
      </c>
      <c r="L383" s="1">
        <v>-87.644086000000001</v>
      </c>
      <c r="M383" s="1" t="s">
        <v>31</v>
      </c>
      <c r="N383" s="5">
        <f t="shared" si="15"/>
        <v>1.6979166670353152E-2</v>
      </c>
      <c r="O383" s="1">
        <f t="shared" si="16"/>
        <v>6</v>
      </c>
      <c r="P383" s="1" t="str">
        <f t="shared" si="17"/>
        <v>Fri</v>
      </c>
    </row>
    <row r="384" spans="1:16" x14ac:dyDescent="0.25">
      <c r="A384" s="1" t="s">
        <v>420</v>
      </c>
      <c r="B384" s="1" t="s">
        <v>14</v>
      </c>
      <c r="C384" s="2">
        <v>45205.924120370371</v>
      </c>
      <c r="D384" s="2">
        <v>45205.956331018519</v>
      </c>
      <c r="E384" s="1" t="s">
        <v>24</v>
      </c>
      <c r="F384" s="1">
        <v>13263</v>
      </c>
      <c r="G384" s="1" t="s">
        <v>43</v>
      </c>
      <c r="H384" s="1" t="s">
        <v>44</v>
      </c>
      <c r="I384" s="1">
        <v>41.884556000000003</v>
      </c>
      <c r="J384" s="1">
        <v>-87.619390999999993</v>
      </c>
      <c r="K384" s="1">
        <v>41.903331999999999</v>
      </c>
      <c r="L384" s="1">
        <v>-87.634260999999995</v>
      </c>
      <c r="M384" s="1" t="s">
        <v>31</v>
      </c>
      <c r="N384" s="5">
        <f t="shared" si="15"/>
        <v>3.2210648147156462E-2</v>
      </c>
      <c r="O384" s="1">
        <f t="shared" si="16"/>
        <v>6</v>
      </c>
      <c r="P384" s="1" t="str">
        <f t="shared" si="17"/>
        <v>Fri</v>
      </c>
    </row>
    <row r="385" spans="1:16" x14ac:dyDescent="0.25">
      <c r="A385" s="1" t="s">
        <v>421</v>
      </c>
      <c r="B385" s="1" t="s">
        <v>14</v>
      </c>
      <c r="C385" s="2">
        <v>45209.423981481479</v>
      </c>
      <c r="D385" s="2">
        <v>45209.426979166667</v>
      </c>
      <c r="E385" s="1" t="s">
        <v>33</v>
      </c>
      <c r="F385" s="1" t="s">
        <v>34</v>
      </c>
      <c r="G385" s="1" t="s">
        <v>24</v>
      </c>
      <c r="H385" s="1">
        <v>13263</v>
      </c>
      <c r="I385" s="1">
        <v>41.887206999999997</v>
      </c>
      <c r="J385" s="1">
        <v>-87.613125999999994</v>
      </c>
      <c r="K385" s="1">
        <v>41.885086000000001</v>
      </c>
      <c r="L385" s="1">
        <v>-87.619202000000001</v>
      </c>
      <c r="M385" s="1" t="s">
        <v>17</v>
      </c>
      <c r="N385" s="5">
        <f t="shared" si="15"/>
        <v>2.9976851874380372E-3</v>
      </c>
      <c r="O385" s="1">
        <f t="shared" si="16"/>
        <v>3</v>
      </c>
      <c r="P385" s="1" t="str">
        <f t="shared" si="17"/>
        <v>Tue</v>
      </c>
    </row>
    <row r="386" spans="1:16" x14ac:dyDescent="0.25">
      <c r="A386" s="1" t="s">
        <v>422</v>
      </c>
      <c r="B386" s="1" t="s">
        <v>14</v>
      </c>
      <c r="C386" s="2">
        <v>45209.454502314817</v>
      </c>
      <c r="D386" s="2">
        <v>45209.466724537036</v>
      </c>
      <c r="E386" s="1" t="s">
        <v>19</v>
      </c>
      <c r="F386" s="1" t="s">
        <v>20</v>
      </c>
      <c r="G386" s="1" t="s">
        <v>41</v>
      </c>
      <c r="H386" s="1" t="s">
        <v>42</v>
      </c>
      <c r="I386" s="1">
        <v>41.926119</v>
      </c>
      <c r="J386" s="1">
        <v>-87.630595</v>
      </c>
      <c r="K386" s="1">
        <v>41.902695999999999</v>
      </c>
      <c r="L386" s="1">
        <v>-87.631138000000007</v>
      </c>
      <c r="M386" s="1" t="s">
        <v>31</v>
      </c>
      <c r="N386" s="5">
        <f t="shared" si="15"/>
        <v>1.2222222219861578E-2</v>
      </c>
      <c r="O386" s="1">
        <f t="shared" si="16"/>
        <v>3</v>
      </c>
      <c r="P386" s="1" t="str">
        <f t="shared" si="17"/>
        <v>Tue</v>
      </c>
    </row>
    <row r="387" spans="1:16" x14ac:dyDescent="0.25">
      <c r="A387" s="1" t="s">
        <v>423</v>
      </c>
      <c r="B387" s="1" t="s">
        <v>14</v>
      </c>
      <c r="C387" s="2">
        <v>45210.084548611114</v>
      </c>
      <c r="D387" s="2">
        <v>45210.090196759258</v>
      </c>
      <c r="E387" s="1" t="s">
        <v>41</v>
      </c>
      <c r="F387" s="1" t="s">
        <v>42</v>
      </c>
      <c r="G387" s="1" t="s">
        <v>57</v>
      </c>
      <c r="H387" s="1" t="s">
        <v>58</v>
      </c>
      <c r="I387" s="1">
        <v>41.903100999999999</v>
      </c>
      <c r="J387" s="1">
        <v>-87.631596000000002</v>
      </c>
      <c r="K387" s="1">
        <v>41.911738999999997</v>
      </c>
      <c r="L387" s="1">
        <v>-87.634343000000001</v>
      </c>
      <c r="M387" s="1" t="s">
        <v>17</v>
      </c>
      <c r="N387" s="5">
        <f t="shared" ref="N387:N450" si="18">D387-C387</f>
        <v>5.648148144246079E-3</v>
      </c>
      <c r="O387" s="1">
        <f t="shared" ref="O387:O450" si="19">WEEKDAY(C387,1)</f>
        <v>4</v>
      </c>
      <c r="P387" s="1" t="str">
        <f t="shared" ref="P387:P450" si="20">CHOOSE(O387,"Sun","Mon","Tue","Wed","Thu","Fri","Sat")</f>
        <v>Wed</v>
      </c>
    </row>
    <row r="388" spans="1:16" x14ac:dyDescent="0.25">
      <c r="A388" s="1" t="s">
        <v>424</v>
      </c>
      <c r="B388" s="1" t="s">
        <v>37</v>
      </c>
      <c r="C388" s="2">
        <v>45211.128263888888</v>
      </c>
      <c r="D388" s="2">
        <v>45211.141875000001</v>
      </c>
      <c r="E388" s="1" t="s">
        <v>23</v>
      </c>
      <c r="F388" s="1">
        <v>13011</v>
      </c>
      <c r="G388" s="1" t="s">
        <v>35</v>
      </c>
      <c r="H388" s="1">
        <v>13022</v>
      </c>
      <c r="I388" s="1">
        <v>41.879460000000002</v>
      </c>
      <c r="J388" s="1">
        <v>-87.639957999999993</v>
      </c>
      <c r="K388" s="1">
        <v>41.892642000000002</v>
      </c>
      <c r="L388" s="1">
        <v>-87.611985000000004</v>
      </c>
      <c r="M388" s="1" t="s">
        <v>17</v>
      </c>
      <c r="N388" s="5">
        <f t="shared" si="18"/>
        <v>1.361111111327773E-2</v>
      </c>
      <c r="O388" s="1">
        <f t="shared" si="19"/>
        <v>5</v>
      </c>
      <c r="P388" s="1" t="str">
        <f t="shared" si="20"/>
        <v>Thu</v>
      </c>
    </row>
    <row r="389" spans="1:16" x14ac:dyDescent="0.25">
      <c r="A389" s="1" t="s">
        <v>425</v>
      </c>
      <c r="B389" s="1" t="s">
        <v>37</v>
      </c>
      <c r="C389" s="2">
        <v>45212.256064814814</v>
      </c>
      <c r="D389" s="2">
        <v>45212.262488425928</v>
      </c>
      <c r="E389" s="1" t="s">
        <v>30</v>
      </c>
      <c r="F389" s="1">
        <v>13137</v>
      </c>
      <c r="G389" s="1" t="s">
        <v>35</v>
      </c>
      <c r="H389" s="1">
        <v>13022</v>
      </c>
      <c r="I389" s="1">
        <v>41.937857999999999</v>
      </c>
      <c r="J389" s="1">
        <v>-87.644144999999995</v>
      </c>
      <c r="K389" s="1">
        <v>41.892302000000001</v>
      </c>
      <c r="L389" s="1">
        <v>-87.612101999999993</v>
      </c>
      <c r="M389" s="1" t="s">
        <v>17</v>
      </c>
      <c r="N389" s="5">
        <f t="shared" si="18"/>
        <v>6.4236111138598062E-3</v>
      </c>
      <c r="O389" s="1">
        <f t="shared" si="19"/>
        <v>6</v>
      </c>
      <c r="P389" s="1" t="str">
        <f t="shared" si="20"/>
        <v>Fri</v>
      </c>
    </row>
    <row r="390" spans="1:16" x14ac:dyDescent="0.25">
      <c r="A390" s="1" t="s">
        <v>426</v>
      </c>
      <c r="B390" s="1" t="s">
        <v>26</v>
      </c>
      <c r="C390" s="2">
        <v>45213.864814814813</v>
      </c>
      <c r="D390" s="2">
        <v>45213.884699074071</v>
      </c>
      <c r="E390" s="1" t="s">
        <v>27</v>
      </c>
      <c r="F390" s="1" t="s">
        <v>28</v>
      </c>
      <c r="G390" s="1" t="s">
        <v>47</v>
      </c>
      <c r="H390" s="1" t="s">
        <v>48</v>
      </c>
      <c r="I390" s="1">
        <v>41.889299999999999</v>
      </c>
      <c r="J390" s="1">
        <v>-87.638406000000003</v>
      </c>
      <c r="K390" s="1">
        <v>41.881796000000001</v>
      </c>
      <c r="L390" s="1">
        <v>-87.641188999999997</v>
      </c>
      <c r="M390" s="1" t="s">
        <v>17</v>
      </c>
      <c r="N390" s="5">
        <f t="shared" si="18"/>
        <v>1.9884259258105885E-2</v>
      </c>
      <c r="O390" s="1">
        <f t="shared" si="19"/>
        <v>7</v>
      </c>
      <c r="P390" s="1" t="str">
        <f t="shared" si="20"/>
        <v>Sat</v>
      </c>
    </row>
    <row r="391" spans="1:16" x14ac:dyDescent="0.25">
      <c r="A391" s="1" t="s">
        <v>427</v>
      </c>
      <c r="B391" s="1" t="s">
        <v>26</v>
      </c>
      <c r="C391" s="2">
        <v>45214.567881944444</v>
      </c>
      <c r="D391" s="2">
        <v>45214.57303240741</v>
      </c>
      <c r="E391" s="1" t="s">
        <v>43</v>
      </c>
      <c r="F391" s="1" t="s">
        <v>44</v>
      </c>
      <c r="G391" s="1" t="s">
        <v>30</v>
      </c>
      <c r="H391" s="1">
        <v>13137</v>
      </c>
      <c r="I391" s="1">
        <v>41.902987000000003</v>
      </c>
      <c r="J391" s="1">
        <v>-87.634152</v>
      </c>
      <c r="K391" s="1">
        <v>41.937134</v>
      </c>
      <c r="L391" s="1">
        <v>-87.644484000000006</v>
      </c>
      <c r="M391" s="1" t="s">
        <v>17</v>
      </c>
      <c r="N391" s="5">
        <f t="shared" si="18"/>
        <v>5.1504629664123058E-3</v>
      </c>
      <c r="O391" s="1">
        <f t="shared" si="19"/>
        <v>1</v>
      </c>
      <c r="P391" s="1" t="str">
        <f t="shared" si="20"/>
        <v>Sun</v>
      </c>
    </row>
    <row r="392" spans="1:16" x14ac:dyDescent="0.25">
      <c r="A392" s="1" t="s">
        <v>428</v>
      </c>
      <c r="B392" s="1" t="s">
        <v>14</v>
      </c>
      <c r="C392" s="2">
        <v>45215.244432870371</v>
      </c>
      <c r="D392" s="2">
        <v>45215.251481481479</v>
      </c>
      <c r="E392" s="1" t="s">
        <v>27</v>
      </c>
      <c r="F392" s="1" t="s">
        <v>28</v>
      </c>
      <c r="G392" s="1" t="s">
        <v>27</v>
      </c>
      <c r="H392" s="1" t="s">
        <v>28</v>
      </c>
      <c r="I392" s="1">
        <v>41.889276000000002</v>
      </c>
      <c r="J392" s="1">
        <v>-87.638910999999993</v>
      </c>
      <c r="K392" s="1">
        <v>41.889052999999997</v>
      </c>
      <c r="L392" s="1">
        <v>-87.638456000000005</v>
      </c>
      <c r="M392" s="1" t="s">
        <v>31</v>
      </c>
      <c r="N392" s="5">
        <f t="shared" si="18"/>
        <v>7.0486111071659252E-3</v>
      </c>
      <c r="O392" s="1">
        <f t="shared" si="19"/>
        <v>2</v>
      </c>
      <c r="P392" s="1" t="str">
        <f t="shared" si="20"/>
        <v>Mon</v>
      </c>
    </row>
    <row r="393" spans="1:16" x14ac:dyDescent="0.25">
      <c r="A393" s="1" t="s">
        <v>429</v>
      </c>
      <c r="B393" s="1" t="s">
        <v>14</v>
      </c>
      <c r="C393" s="2">
        <v>45216.141886574071</v>
      </c>
      <c r="D393" s="2">
        <v>45216.153854166667</v>
      </c>
      <c r="E393" s="1" t="s">
        <v>57</v>
      </c>
      <c r="F393" s="1" t="s">
        <v>58</v>
      </c>
      <c r="G393" s="1" t="s">
        <v>57</v>
      </c>
      <c r="H393" s="1" t="s">
        <v>58</v>
      </c>
      <c r="I393" s="1">
        <v>41.912050999999998</v>
      </c>
      <c r="J393" s="1">
        <v>-87.634405000000001</v>
      </c>
      <c r="K393" s="1">
        <v>41.911734000000003</v>
      </c>
      <c r="L393" s="1">
        <v>-87.634878</v>
      </c>
      <c r="M393" s="1" t="s">
        <v>17</v>
      </c>
      <c r="N393" s="5">
        <f t="shared" si="18"/>
        <v>1.1967592596192844E-2</v>
      </c>
      <c r="O393" s="1">
        <f t="shared" si="19"/>
        <v>3</v>
      </c>
      <c r="P393" s="1" t="str">
        <f t="shared" si="20"/>
        <v>Tue</v>
      </c>
    </row>
    <row r="394" spans="1:16" x14ac:dyDescent="0.25">
      <c r="A394" s="1" t="s">
        <v>430</v>
      </c>
      <c r="B394" s="1" t="s">
        <v>37</v>
      </c>
      <c r="C394" s="2">
        <v>45217.477094907408</v>
      </c>
      <c r="D394" s="2">
        <v>45217.482754629629</v>
      </c>
      <c r="E394" s="1" t="s">
        <v>19</v>
      </c>
      <c r="F394" s="1" t="s">
        <v>20</v>
      </c>
      <c r="G394" s="1" t="s">
        <v>21</v>
      </c>
      <c r="H394" s="1">
        <v>21213</v>
      </c>
      <c r="I394" s="1">
        <v>41.926372000000001</v>
      </c>
      <c r="J394" s="1">
        <v>-87.631162000000003</v>
      </c>
      <c r="K394" s="1">
        <v>41.835160000000002</v>
      </c>
      <c r="L394" s="1">
        <v>-87.626244999999997</v>
      </c>
      <c r="M394" s="1" t="s">
        <v>17</v>
      </c>
      <c r="N394" s="5">
        <f t="shared" si="18"/>
        <v>5.6597222210257314E-3</v>
      </c>
      <c r="O394" s="1">
        <f t="shared" si="19"/>
        <v>4</v>
      </c>
      <c r="P394" s="1" t="str">
        <f t="shared" si="20"/>
        <v>Wed</v>
      </c>
    </row>
    <row r="395" spans="1:16" x14ac:dyDescent="0.25">
      <c r="A395" s="1" t="s">
        <v>431</v>
      </c>
      <c r="B395" s="1" t="s">
        <v>14</v>
      </c>
      <c r="C395" s="2">
        <v>45218.035532407404</v>
      </c>
      <c r="D395" s="2">
        <v>45218.042361111111</v>
      </c>
      <c r="E395" s="1" t="s">
        <v>19</v>
      </c>
      <c r="F395" s="1" t="s">
        <v>20</v>
      </c>
      <c r="G395" s="1" t="s">
        <v>27</v>
      </c>
      <c r="H395" s="1" t="s">
        <v>28</v>
      </c>
      <c r="I395" s="1">
        <v>41.925857000000001</v>
      </c>
      <c r="J395" s="1">
        <v>-87.631022000000002</v>
      </c>
      <c r="K395" s="1">
        <v>41.888693000000004</v>
      </c>
      <c r="L395" s="1">
        <v>-87.638988999999995</v>
      </c>
      <c r="M395" s="1" t="s">
        <v>17</v>
      </c>
      <c r="N395" s="5">
        <f t="shared" si="18"/>
        <v>6.8287037065601908E-3</v>
      </c>
      <c r="O395" s="1">
        <f t="shared" si="19"/>
        <v>5</v>
      </c>
      <c r="P395" s="1" t="str">
        <f t="shared" si="20"/>
        <v>Thu</v>
      </c>
    </row>
    <row r="396" spans="1:16" x14ac:dyDescent="0.25">
      <c r="A396" s="1" t="s">
        <v>432</v>
      </c>
      <c r="B396" s="1" t="s">
        <v>37</v>
      </c>
      <c r="C396" s="2">
        <v>45218.664363425924</v>
      </c>
      <c r="D396" s="2">
        <v>45218.671458333331</v>
      </c>
      <c r="E396" s="1" t="s">
        <v>19</v>
      </c>
      <c r="F396" s="1" t="s">
        <v>20</v>
      </c>
      <c r="G396" s="1" t="s">
        <v>19</v>
      </c>
      <c r="H396" s="1" t="s">
        <v>20</v>
      </c>
      <c r="I396" s="1">
        <v>41.926335000000002</v>
      </c>
      <c r="J396" s="1">
        <v>-87.630987000000005</v>
      </c>
      <c r="K396" s="1">
        <v>41.92671</v>
      </c>
      <c r="L396" s="1">
        <v>-87.630410999999995</v>
      </c>
      <c r="M396" s="1" t="s">
        <v>17</v>
      </c>
      <c r="N396" s="5">
        <f t="shared" si="18"/>
        <v>7.0949074070085771E-3</v>
      </c>
      <c r="O396" s="1">
        <f t="shared" si="19"/>
        <v>5</v>
      </c>
      <c r="P396" s="1" t="str">
        <f t="shared" si="20"/>
        <v>Thu</v>
      </c>
    </row>
    <row r="397" spans="1:16" x14ac:dyDescent="0.25">
      <c r="A397" s="1" t="s">
        <v>433</v>
      </c>
      <c r="B397" s="1" t="s">
        <v>37</v>
      </c>
      <c r="C397" s="2">
        <v>45219.886134259257</v>
      </c>
      <c r="D397" s="2">
        <v>45219.901250000003</v>
      </c>
      <c r="E397" s="1" t="s">
        <v>24</v>
      </c>
      <c r="F397" s="1">
        <v>13263</v>
      </c>
      <c r="G397" s="1" t="s">
        <v>47</v>
      </c>
      <c r="H397" s="1" t="s">
        <v>48</v>
      </c>
      <c r="I397" s="1">
        <v>41.884799999999998</v>
      </c>
      <c r="J397" s="1">
        <v>-87.619215999999994</v>
      </c>
      <c r="K397" s="1">
        <v>41.882502000000002</v>
      </c>
      <c r="L397" s="1">
        <v>-87.641412000000003</v>
      </c>
      <c r="M397" s="1" t="s">
        <v>31</v>
      </c>
      <c r="N397" s="5">
        <f t="shared" si="18"/>
        <v>1.5115740745386574E-2</v>
      </c>
      <c r="O397" s="1">
        <f t="shared" si="19"/>
        <v>6</v>
      </c>
      <c r="P397" s="1" t="str">
        <f t="shared" si="20"/>
        <v>Fri</v>
      </c>
    </row>
    <row r="398" spans="1:16" x14ac:dyDescent="0.25">
      <c r="A398" s="1" t="s">
        <v>434</v>
      </c>
      <c r="B398" s="1" t="s">
        <v>14</v>
      </c>
      <c r="C398" s="2">
        <v>45220.057928240742</v>
      </c>
      <c r="D398" s="2">
        <v>45220.062719907408</v>
      </c>
      <c r="E398" s="1" t="s">
        <v>66</v>
      </c>
      <c r="F398" s="1">
        <v>13042</v>
      </c>
      <c r="G398" s="1" t="s">
        <v>41</v>
      </c>
      <c r="H398" s="1" t="s">
        <v>42</v>
      </c>
      <c r="I398" s="1">
        <v>41.900548999999998</v>
      </c>
      <c r="J398" s="1">
        <v>-87.624173999999996</v>
      </c>
      <c r="K398" s="1">
        <v>41.903058000000001</v>
      </c>
      <c r="L398" s="1">
        <v>-87.631091999999995</v>
      </c>
      <c r="M398" s="1" t="s">
        <v>31</v>
      </c>
      <c r="N398" s="5">
        <f t="shared" si="18"/>
        <v>4.7916666662786156E-3</v>
      </c>
      <c r="O398" s="1">
        <f t="shared" si="19"/>
        <v>7</v>
      </c>
      <c r="P398" s="1" t="str">
        <f t="shared" si="20"/>
        <v>Sat</v>
      </c>
    </row>
    <row r="399" spans="1:16" x14ac:dyDescent="0.25">
      <c r="A399" s="1" t="s">
        <v>435</v>
      </c>
      <c r="B399" s="1" t="s">
        <v>37</v>
      </c>
      <c r="C399" s="2">
        <v>45220.732685185183</v>
      </c>
      <c r="D399" s="2">
        <v>45220.742256944446</v>
      </c>
      <c r="E399" s="1" t="s">
        <v>15</v>
      </c>
      <c r="F399" s="1">
        <v>13008</v>
      </c>
      <c r="G399" s="1" t="s">
        <v>19</v>
      </c>
      <c r="H399" s="1" t="s">
        <v>20</v>
      </c>
      <c r="I399" s="1">
        <v>41.880986</v>
      </c>
      <c r="J399" s="1">
        <v>-87.623896000000002</v>
      </c>
      <c r="K399" s="1">
        <v>41.925918000000003</v>
      </c>
      <c r="L399" s="1">
        <v>-87.630848</v>
      </c>
      <c r="M399" s="1" t="s">
        <v>17</v>
      </c>
      <c r="N399" s="5">
        <f t="shared" si="18"/>
        <v>9.5717592630535364E-3</v>
      </c>
      <c r="O399" s="1">
        <f t="shared" si="19"/>
        <v>7</v>
      </c>
      <c r="P399" s="1" t="str">
        <f t="shared" si="20"/>
        <v>Sat</v>
      </c>
    </row>
    <row r="400" spans="1:16" x14ac:dyDescent="0.25">
      <c r="A400" s="1" t="s">
        <v>436</v>
      </c>
      <c r="B400" s="1" t="s">
        <v>14</v>
      </c>
      <c r="C400" s="2">
        <v>45222.265798611108</v>
      </c>
      <c r="D400" s="2">
        <v>45222.276354166665</v>
      </c>
      <c r="E400" s="1" t="s">
        <v>33</v>
      </c>
      <c r="F400" s="1" t="s">
        <v>34</v>
      </c>
      <c r="G400" s="1" t="s">
        <v>33</v>
      </c>
      <c r="H400" s="1" t="s">
        <v>34</v>
      </c>
      <c r="I400" s="1">
        <v>41.887467000000001</v>
      </c>
      <c r="J400" s="1">
        <v>-87.613080999999994</v>
      </c>
      <c r="K400" s="1">
        <v>41.887419000000001</v>
      </c>
      <c r="L400" s="1">
        <v>-87.612662999999998</v>
      </c>
      <c r="M400" s="1" t="s">
        <v>17</v>
      </c>
      <c r="N400" s="5">
        <f t="shared" si="18"/>
        <v>1.0555555556493346E-2</v>
      </c>
      <c r="O400" s="1">
        <f t="shared" si="19"/>
        <v>2</v>
      </c>
      <c r="P400" s="1" t="str">
        <f t="shared" si="20"/>
        <v>Mon</v>
      </c>
    </row>
    <row r="401" spans="1:16" x14ac:dyDescent="0.25">
      <c r="A401" s="1" t="s">
        <v>437</v>
      </c>
      <c r="B401" s="1" t="s">
        <v>14</v>
      </c>
      <c r="C401" s="2">
        <v>45222.300682870373</v>
      </c>
      <c r="D401" s="2">
        <v>45222.313101851854</v>
      </c>
      <c r="E401" s="1" t="s">
        <v>41</v>
      </c>
      <c r="F401" s="1" t="s">
        <v>42</v>
      </c>
      <c r="G401" s="1" t="s">
        <v>30</v>
      </c>
      <c r="H401" s="1">
        <v>13137</v>
      </c>
      <c r="I401" s="1">
        <v>41.903260000000003</v>
      </c>
      <c r="J401" s="1">
        <v>-87.631369000000007</v>
      </c>
      <c r="K401" s="1">
        <v>41.937956</v>
      </c>
      <c r="L401" s="1">
        <v>-87.643960000000007</v>
      </c>
      <c r="M401" s="1" t="s">
        <v>31</v>
      </c>
      <c r="N401" s="5">
        <f t="shared" si="18"/>
        <v>1.2418981481459923E-2</v>
      </c>
      <c r="O401" s="1">
        <f t="shared" si="19"/>
        <v>2</v>
      </c>
      <c r="P401" s="1" t="str">
        <f t="shared" si="20"/>
        <v>Mon</v>
      </c>
    </row>
    <row r="402" spans="1:16" x14ac:dyDescent="0.25">
      <c r="A402" s="1" t="s">
        <v>438</v>
      </c>
      <c r="B402" s="1" t="s">
        <v>37</v>
      </c>
      <c r="C402" s="2">
        <v>45222.497164351851</v>
      </c>
      <c r="D402" s="2">
        <v>45222.504224537035</v>
      </c>
      <c r="E402" s="1" t="s">
        <v>24</v>
      </c>
      <c r="F402" s="1">
        <v>13263</v>
      </c>
      <c r="G402" s="1" t="s">
        <v>47</v>
      </c>
      <c r="H402" s="1" t="s">
        <v>48</v>
      </c>
      <c r="I402" s="1">
        <v>41.884461000000002</v>
      </c>
      <c r="J402" s="1">
        <v>-87.619890999999996</v>
      </c>
      <c r="K402" s="1">
        <v>41.881998000000003</v>
      </c>
      <c r="L402" s="1">
        <v>-87.641210999999998</v>
      </c>
      <c r="M402" s="1" t="s">
        <v>31</v>
      </c>
      <c r="N402" s="5">
        <f t="shared" si="18"/>
        <v>7.0601851839455776E-3</v>
      </c>
      <c r="O402" s="1">
        <f t="shared" si="19"/>
        <v>2</v>
      </c>
      <c r="P402" s="1" t="str">
        <f t="shared" si="20"/>
        <v>Mon</v>
      </c>
    </row>
    <row r="403" spans="1:16" x14ac:dyDescent="0.25">
      <c r="A403" s="1" t="s">
        <v>439</v>
      </c>
      <c r="B403" s="1" t="s">
        <v>14</v>
      </c>
      <c r="C403" s="2">
        <v>45223.250243055554</v>
      </c>
      <c r="D403" s="2">
        <v>45223.272465277776</v>
      </c>
      <c r="E403" s="1" t="s">
        <v>24</v>
      </c>
      <c r="F403" s="1">
        <v>13263</v>
      </c>
      <c r="G403" s="1" t="s">
        <v>16</v>
      </c>
      <c r="H403" s="1">
        <v>13045</v>
      </c>
      <c r="I403" s="1">
        <v>41.885066999999999</v>
      </c>
      <c r="J403" s="1">
        <v>-87.619895999999997</v>
      </c>
      <c r="K403" s="1">
        <v>41.894413</v>
      </c>
      <c r="L403" s="1">
        <v>-87.628947999999994</v>
      </c>
      <c r="M403" s="1" t="s">
        <v>17</v>
      </c>
      <c r="N403" s="5">
        <f t="shared" si="18"/>
        <v>2.2222222221898846E-2</v>
      </c>
      <c r="O403" s="1">
        <f t="shared" si="19"/>
        <v>3</v>
      </c>
      <c r="P403" s="1" t="str">
        <f t="shared" si="20"/>
        <v>Tue</v>
      </c>
    </row>
    <row r="404" spans="1:16" x14ac:dyDescent="0.25">
      <c r="A404" s="1" t="s">
        <v>440</v>
      </c>
      <c r="B404" s="1" t="s">
        <v>26</v>
      </c>
      <c r="C404" s="2">
        <v>45224.012546296297</v>
      </c>
      <c r="D404" s="2">
        <v>45224.03193287037</v>
      </c>
      <c r="E404" s="1" t="s">
        <v>19</v>
      </c>
      <c r="F404" s="1" t="s">
        <v>20</v>
      </c>
      <c r="G404" s="1" t="s">
        <v>35</v>
      </c>
      <c r="H404" s="1">
        <v>13022</v>
      </c>
      <c r="I404" s="1">
        <v>41.926177000000003</v>
      </c>
      <c r="J404" s="1">
        <v>-87.630550999999997</v>
      </c>
      <c r="K404" s="1">
        <v>41.892043999999999</v>
      </c>
      <c r="L404" s="1">
        <v>-87.611553000000001</v>
      </c>
      <c r="M404" s="1" t="s">
        <v>17</v>
      </c>
      <c r="N404" s="5">
        <f t="shared" si="18"/>
        <v>1.9386574072996154E-2</v>
      </c>
      <c r="O404" s="1">
        <f t="shared" si="19"/>
        <v>4</v>
      </c>
      <c r="P404" s="1" t="str">
        <f t="shared" si="20"/>
        <v>Wed</v>
      </c>
    </row>
    <row r="405" spans="1:16" x14ac:dyDescent="0.25">
      <c r="A405" s="1" t="s">
        <v>441</v>
      </c>
      <c r="B405" s="1" t="s">
        <v>14</v>
      </c>
      <c r="C405" s="2">
        <v>45224.386099537034</v>
      </c>
      <c r="D405" s="2">
        <v>45224.393483796295</v>
      </c>
      <c r="E405" s="1" t="s">
        <v>19</v>
      </c>
      <c r="F405" s="1" t="s">
        <v>20</v>
      </c>
      <c r="G405" s="1" t="s">
        <v>21</v>
      </c>
      <c r="H405" s="1">
        <v>21213</v>
      </c>
      <c r="I405" s="1">
        <v>41.926312000000003</v>
      </c>
      <c r="J405" s="1">
        <v>-87.630768000000003</v>
      </c>
      <c r="K405" s="1">
        <v>41.834985000000003</v>
      </c>
      <c r="L405" s="1">
        <v>-87.626181000000003</v>
      </c>
      <c r="M405" s="1" t="s">
        <v>17</v>
      </c>
      <c r="N405" s="5">
        <f t="shared" si="18"/>
        <v>7.3842592610162683E-3</v>
      </c>
      <c r="O405" s="1">
        <f t="shared" si="19"/>
        <v>4</v>
      </c>
      <c r="P405" s="1" t="str">
        <f t="shared" si="20"/>
        <v>Wed</v>
      </c>
    </row>
    <row r="406" spans="1:16" x14ac:dyDescent="0.25">
      <c r="A406" s="1" t="s">
        <v>442</v>
      </c>
      <c r="B406" s="1" t="s">
        <v>14</v>
      </c>
      <c r="C406" s="2">
        <v>45228.652268518519</v>
      </c>
      <c r="D406" s="2">
        <v>45228.667245370372</v>
      </c>
      <c r="E406" s="1" t="s">
        <v>23</v>
      </c>
      <c r="F406" s="1">
        <v>13011</v>
      </c>
      <c r="G406" s="1" t="s">
        <v>33</v>
      </c>
      <c r="H406" s="1" t="s">
        <v>34</v>
      </c>
      <c r="I406" s="1">
        <v>41.879406000000003</v>
      </c>
      <c r="J406" s="1">
        <v>-87.639529999999993</v>
      </c>
      <c r="K406" s="1">
        <v>41.886476000000002</v>
      </c>
      <c r="L406" s="1">
        <v>-87.613144000000005</v>
      </c>
      <c r="M406" s="1" t="s">
        <v>17</v>
      </c>
      <c r="N406" s="5">
        <f t="shared" si="18"/>
        <v>1.4976851853134576E-2</v>
      </c>
      <c r="O406" s="1">
        <f t="shared" si="19"/>
        <v>1</v>
      </c>
      <c r="P406" s="1" t="str">
        <f t="shared" si="20"/>
        <v>Sun</v>
      </c>
    </row>
    <row r="407" spans="1:16" x14ac:dyDescent="0.25">
      <c r="A407" s="1" t="s">
        <v>443</v>
      </c>
      <c r="B407" s="1" t="s">
        <v>14</v>
      </c>
      <c r="C407" s="2">
        <v>45229.220023148147</v>
      </c>
      <c r="D407" s="2">
        <v>45229.230694444443</v>
      </c>
      <c r="E407" s="1" t="s">
        <v>35</v>
      </c>
      <c r="F407" s="1">
        <v>13022</v>
      </c>
      <c r="G407" s="1" t="s">
        <v>47</v>
      </c>
      <c r="H407" s="1" t="s">
        <v>48</v>
      </c>
      <c r="I407" s="1">
        <v>41.892623</v>
      </c>
      <c r="J407" s="1">
        <v>-87.612520000000004</v>
      </c>
      <c r="K407" s="1">
        <v>41.882556000000001</v>
      </c>
      <c r="L407" s="1">
        <v>-87.641283999999999</v>
      </c>
      <c r="M407" s="1" t="s">
        <v>17</v>
      </c>
      <c r="N407" s="5">
        <f t="shared" si="18"/>
        <v>1.0671296295186039E-2</v>
      </c>
      <c r="O407" s="1">
        <f t="shared" si="19"/>
        <v>2</v>
      </c>
      <c r="P407" s="1" t="str">
        <f t="shared" si="20"/>
        <v>Mon</v>
      </c>
    </row>
    <row r="408" spans="1:16" x14ac:dyDescent="0.25">
      <c r="A408" s="1" t="s">
        <v>444</v>
      </c>
      <c r="B408" s="1" t="s">
        <v>37</v>
      </c>
      <c r="C408" s="2">
        <v>45229.294270833336</v>
      </c>
      <c r="D408" s="2">
        <v>45229.309351851851</v>
      </c>
      <c r="E408" s="1" t="s">
        <v>21</v>
      </c>
      <c r="F408" s="1">
        <v>21213</v>
      </c>
      <c r="G408" s="1" t="s">
        <v>19</v>
      </c>
      <c r="H408" s="1" t="s">
        <v>20</v>
      </c>
      <c r="I408" s="1">
        <v>41.835219000000002</v>
      </c>
      <c r="J408" s="1">
        <v>-87.625376000000003</v>
      </c>
      <c r="K408" s="1">
        <v>41.925820000000002</v>
      </c>
      <c r="L408" s="1">
        <v>-87.631169</v>
      </c>
      <c r="M408" s="1" t="s">
        <v>17</v>
      </c>
      <c r="N408" s="5">
        <f t="shared" si="18"/>
        <v>1.5081018515047617E-2</v>
      </c>
      <c r="O408" s="1">
        <f t="shared" si="19"/>
        <v>2</v>
      </c>
      <c r="P408" s="1" t="str">
        <f t="shared" si="20"/>
        <v>Mon</v>
      </c>
    </row>
    <row r="409" spans="1:16" x14ac:dyDescent="0.25">
      <c r="A409" s="1" t="s">
        <v>445</v>
      </c>
      <c r="B409" s="1" t="s">
        <v>14</v>
      </c>
      <c r="C409" s="2">
        <v>45229.825219907405</v>
      </c>
      <c r="D409" s="2">
        <v>45229.835648148146</v>
      </c>
      <c r="E409" s="1" t="s">
        <v>66</v>
      </c>
      <c r="F409" s="1">
        <v>13042</v>
      </c>
      <c r="G409" s="1" t="s">
        <v>23</v>
      </c>
      <c r="H409" s="1">
        <v>13011</v>
      </c>
      <c r="I409" s="1">
        <v>41.901291000000001</v>
      </c>
      <c r="J409" s="1">
        <v>-87.623931999999996</v>
      </c>
      <c r="K409" s="1">
        <v>41.879528999999998</v>
      </c>
      <c r="L409" s="1">
        <v>-87.640040999999997</v>
      </c>
      <c r="M409" s="1" t="s">
        <v>31</v>
      </c>
      <c r="N409" s="5">
        <f t="shared" si="18"/>
        <v>1.0428240741021E-2</v>
      </c>
      <c r="O409" s="1">
        <f t="shared" si="19"/>
        <v>2</v>
      </c>
      <c r="P409" s="1" t="str">
        <f t="shared" si="20"/>
        <v>Mon</v>
      </c>
    </row>
    <row r="410" spans="1:16" x14ac:dyDescent="0.25">
      <c r="A410" s="1" t="s">
        <v>446</v>
      </c>
      <c r="B410" s="1" t="s">
        <v>37</v>
      </c>
      <c r="C410" s="2">
        <v>45231.024756944447</v>
      </c>
      <c r="D410" s="2">
        <v>45231.027627314812</v>
      </c>
      <c r="E410" s="1" t="s">
        <v>57</v>
      </c>
      <c r="F410" s="1" t="s">
        <v>58</v>
      </c>
      <c r="G410" s="1" t="s">
        <v>57</v>
      </c>
      <c r="H410" s="1" t="s">
        <v>58</v>
      </c>
      <c r="I410" s="1">
        <v>41.912021000000003</v>
      </c>
      <c r="J410" s="1">
        <v>-87.635018000000002</v>
      </c>
      <c r="K410" s="1">
        <v>41.912371</v>
      </c>
      <c r="L410" s="1">
        <v>-87.634298999999999</v>
      </c>
      <c r="M410" s="1" t="s">
        <v>17</v>
      </c>
      <c r="N410" s="5">
        <f t="shared" si="18"/>
        <v>2.8703703646897338E-3</v>
      </c>
      <c r="O410" s="1">
        <f t="shared" si="19"/>
        <v>4</v>
      </c>
      <c r="P410" s="1" t="str">
        <f t="shared" si="20"/>
        <v>Wed</v>
      </c>
    </row>
    <row r="411" spans="1:16" x14ac:dyDescent="0.25">
      <c r="A411" s="1" t="s">
        <v>447</v>
      </c>
      <c r="B411" s="1" t="s">
        <v>14</v>
      </c>
      <c r="C411" s="2">
        <v>45231.552800925929</v>
      </c>
      <c r="D411" s="2">
        <v>45231.574421296296</v>
      </c>
      <c r="E411" s="1" t="s">
        <v>19</v>
      </c>
      <c r="F411" s="1" t="s">
        <v>20</v>
      </c>
      <c r="G411" s="1" t="s">
        <v>27</v>
      </c>
      <c r="H411" s="1" t="s">
        <v>28</v>
      </c>
      <c r="I411" s="1">
        <v>41.926318000000002</v>
      </c>
      <c r="J411" s="1">
        <v>-87.630624999999995</v>
      </c>
      <c r="K411" s="1">
        <v>41.889547999999998</v>
      </c>
      <c r="L411" s="1">
        <v>-87.638292000000007</v>
      </c>
      <c r="M411" s="1" t="s">
        <v>17</v>
      </c>
      <c r="N411" s="5">
        <f t="shared" si="18"/>
        <v>2.1620370367600117E-2</v>
      </c>
      <c r="O411" s="1">
        <f t="shared" si="19"/>
        <v>4</v>
      </c>
      <c r="P411" s="1" t="str">
        <f t="shared" si="20"/>
        <v>Wed</v>
      </c>
    </row>
    <row r="412" spans="1:16" x14ac:dyDescent="0.25">
      <c r="A412" s="1" t="s">
        <v>448</v>
      </c>
      <c r="B412" s="1" t="s">
        <v>14</v>
      </c>
      <c r="C412" s="2">
        <v>45231.997407407405</v>
      </c>
      <c r="D412" s="2">
        <v>45232.052199074074</v>
      </c>
      <c r="E412" s="1" t="s">
        <v>35</v>
      </c>
      <c r="F412" s="1">
        <v>13022</v>
      </c>
      <c r="G412" s="1" t="s">
        <v>35</v>
      </c>
      <c r="H412" s="1">
        <v>13022</v>
      </c>
      <c r="I412" s="1">
        <v>41.892319999999998</v>
      </c>
      <c r="J412" s="1">
        <v>-87.611670000000004</v>
      </c>
      <c r="K412" s="1">
        <v>41.892510000000001</v>
      </c>
      <c r="L412" s="1">
        <v>-87.611735999999993</v>
      </c>
      <c r="M412" s="1" t="s">
        <v>31</v>
      </c>
      <c r="N412" s="5">
        <f t="shared" si="18"/>
        <v>5.4791666669188999E-2</v>
      </c>
      <c r="O412" s="1">
        <f t="shared" si="19"/>
        <v>4</v>
      </c>
      <c r="P412" s="1" t="str">
        <f t="shared" si="20"/>
        <v>Wed</v>
      </c>
    </row>
    <row r="413" spans="1:16" x14ac:dyDescent="0.25">
      <c r="A413" s="1" t="s">
        <v>449</v>
      </c>
      <c r="B413" s="1" t="s">
        <v>14</v>
      </c>
      <c r="C413" s="2">
        <v>45232.049270833333</v>
      </c>
      <c r="D413" s="2">
        <v>45232.058206018519</v>
      </c>
      <c r="E413" s="1" t="s">
        <v>35</v>
      </c>
      <c r="F413" s="1">
        <v>13022</v>
      </c>
      <c r="G413" s="1" t="s">
        <v>35</v>
      </c>
      <c r="H413" s="1">
        <v>13022</v>
      </c>
      <c r="I413" s="1">
        <v>41.892570999999997</v>
      </c>
      <c r="J413" s="1">
        <v>-87.612474000000006</v>
      </c>
      <c r="K413" s="1">
        <v>41.892251999999999</v>
      </c>
      <c r="L413" s="1">
        <v>-87.611981999999998</v>
      </c>
      <c r="M413" s="1" t="s">
        <v>17</v>
      </c>
      <c r="N413" s="5">
        <f t="shared" si="18"/>
        <v>8.9351851856918074E-3</v>
      </c>
      <c r="O413" s="1">
        <f t="shared" si="19"/>
        <v>5</v>
      </c>
      <c r="P413" s="1" t="str">
        <f t="shared" si="20"/>
        <v>Thu</v>
      </c>
    </row>
    <row r="414" spans="1:16" x14ac:dyDescent="0.25">
      <c r="A414" s="1" t="s">
        <v>450</v>
      </c>
      <c r="B414" s="1" t="s">
        <v>14</v>
      </c>
      <c r="C414" s="2">
        <v>45232.518750000003</v>
      </c>
      <c r="D414" s="2">
        <v>45232.536157407405</v>
      </c>
      <c r="E414" s="1" t="s">
        <v>24</v>
      </c>
      <c r="F414" s="1">
        <v>13263</v>
      </c>
      <c r="G414" s="1" t="s">
        <v>43</v>
      </c>
      <c r="H414" s="1" t="s">
        <v>44</v>
      </c>
      <c r="I414" s="1">
        <v>41.884818000000003</v>
      </c>
      <c r="J414" s="1">
        <v>-87.619540999999998</v>
      </c>
      <c r="K414" s="1">
        <v>41.903143</v>
      </c>
      <c r="L414" s="1">
        <v>-87.634039000000001</v>
      </c>
      <c r="M414" s="1" t="s">
        <v>31</v>
      </c>
      <c r="N414" s="5">
        <f t="shared" si="18"/>
        <v>1.7407407402060926E-2</v>
      </c>
      <c r="O414" s="1">
        <f t="shared" si="19"/>
        <v>5</v>
      </c>
      <c r="P414" s="1" t="str">
        <f t="shared" si="20"/>
        <v>Thu</v>
      </c>
    </row>
    <row r="415" spans="1:16" x14ac:dyDescent="0.25">
      <c r="A415" s="1" t="s">
        <v>451</v>
      </c>
      <c r="B415" s="1" t="s">
        <v>37</v>
      </c>
      <c r="C415" s="2">
        <v>45232.773472222223</v>
      </c>
      <c r="D415" s="2">
        <v>45232.779895833337</v>
      </c>
      <c r="E415" s="1" t="s">
        <v>16</v>
      </c>
      <c r="F415" s="1">
        <v>13045</v>
      </c>
      <c r="G415" s="1" t="s">
        <v>16</v>
      </c>
      <c r="H415" s="1">
        <v>13045</v>
      </c>
      <c r="I415" s="1">
        <v>41.894423000000003</v>
      </c>
      <c r="J415" s="1">
        <v>-87.629157000000006</v>
      </c>
      <c r="K415" s="1">
        <v>41.894238000000001</v>
      </c>
      <c r="L415" s="1">
        <v>-87.629506000000006</v>
      </c>
      <c r="M415" s="1" t="s">
        <v>31</v>
      </c>
      <c r="N415" s="5">
        <f t="shared" si="18"/>
        <v>6.4236111138598062E-3</v>
      </c>
      <c r="O415" s="1">
        <f t="shared" si="19"/>
        <v>5</v>
      </c>
      <c r="P415" s="1" t="str">
        <f t="shared" si="20"/>
        <v>Thu</v>
      </c>
    </row>
    <row r="416" spans="1:16" x14ac:dyDescent="0.25">
      <c r="A416" s="1" t="s">
        <v>452</v>
      </c>
      <c r="B416" s="1" t="s">
        <v>26</v>
      </c>
      <c r="C416" s="2">
        <v>45233.371701388889</v>
      </c>
      <c r="D416" s="2">
        <v>45233.395474537036</v>
      </c>
      <c r="E416" s="1" t="s">
        <v>24</v>
      </c>
      <c r="F416" s="1">
        <v>13263</v>
      </c>
      <c r="G416" s="1" t="s">
        <v>35</v>
      </c>
      <c r="H416" s="1">
        <v>13022</v>
      </c>
      <c r="I416" s="1">
        <v>41.884421000000003</v>
      </c>
      <c r="J416" s="1">
        <v>-87.619550000000004</v>
      </c>
      <c r="K416" s="1">
        <v>41.892251000000002</v>
      </c>
      <c r="L416" s="1">
        <v>-87.612165000000005</v>
      </c>
      <c r="M416" s="1" t="s">
        <v>31</v>
      </c>
      <c r="N416" s="5">
        <f t="shared" si="18"/>
        <v>2.3773148146574385E-2</v>
      </c>
      <c r="O416" s="1">
        <f t="shared" si="19"/>
        <v>6</v>
      </c>
      <c r="P416" s="1" t="str">
        <f t="shared" si="20"/>
        <v>Fri</v>
      </c>
    </row>
    <row r="417" spans="1:16" x14ac:dyDescent="0.25">
      <c r="A417" s="1" t="s">
        <v>453</v>
      </c>
      <c r="B417" s="1" t="s">
        <v>37</v>
      </c>
      <c r="C417" s="2">
        <v>45236.138993055552</v>
      </c>
      <c r="D417" s="2">
        <v>45236.15556712963</v>
      </c>
      <c r="E417" s="1" t="s">
        <v>16</v>
      </c>
      <c r="F417" s="1">
        <v>13045</v>
      </c>
      <c r="G417" s="1" t="s">
        <v>27</v>
      </c>
      <c r="H417" s="1" t="s">
        <v>28</v>
      </c>
      <c r="I417" s="1">
        <v>41.893906999999999</v>
      </c>
      <c r="J417" s="1">
        <v>-87.628953999999993</v>
      </c>
      <c r="K417" s="1">
        <v>41.889600000000002</v>
      </c>
      <c r="L417" s="1">
        <v>-87.638540000000006</v>
      </c>
      <c r="M417" s="1" t="s">
        <v>17</v>
      </c>
      <c r="N417" s="5">
        <f t="shared" si="18"/>
        <v>1.6574074077652767E-2</v>
      </c>
      <c r="O417" s="1">
        <f t="shared" si="19"/>
        <v>2</v>
      </c>
      <c r="P417" s="1" t="str">
        <f t="shared" si="20"/>
        <v>Mon</v>
      </c>
    </row>
    <row r="418" spans="1:16" x14ac:dyDescent="0.25">
      <c r="A418" s="1" t="s">
        <v>454</v>
      </c>
      <c r="B418" s="1" t="s">
        <v>14</v>
      </c>
      <c r="C418" s="2">
        <v>45237.983229166668</v>
      </c>
      <c r="D418" s="2">
        <v>45237.987268518518</v>
      </c>
      <c r="E418" s="1" t="s">
        <v>23</v>
      </c>
      <c r="F418" s="1">
        <v>13011</v>
      </c>
      <c r="G418" s="1" t="s">
        <v>66</v>
      </c>
      <c r="H418" s="1">
        <v>13042</v>
      </c>
      <c r="I418" s="1">
        <v>41.879550000000002</v>
      </c>
      <c r="J418" s="1">
        <v>-87.640133000000006</v>
      </c>
      <c r="K418" s="1">
        <v>41.900899000000003</v>
      </c>
      <c r="L418" s="1">
        <v>-87.624199000000004</v>
      </c>
      <c r="M418" s="1" t="s">
        <v>17</v>
      </c>
      <c r="N418" s="5">
        <f t="shared" si="18"/>
        <v>4.0393518502241932E-3</v>
      </c>
      <c r="O418" s="1">
        <f t="shared" si="19"/>
        <v>3</v>
      </c>
      <c r="P418" s="1" t="str">
        <f t="shared" si="20"/>
        <v>Tue</v>
      </c>
    </row>
    <row r="419" spans="1:16" x14ac:dyDescent="0.25">
      <c r="A419" s="1" t="s">
        <v>455</v>
      </c>
      <c r="B419" s="1" t="s">
        <v>14</v>
      </c>
      <c r="C419" s="2">
        <v>45239.190694444442</v>
      </c>
      <c r="D419" s="2">
        <v>45239.194699074076</v>
      </c>
      <c r="E419" s="1" t="s">
        <v>47</v>
      </c>
      <c r="F419" s="1" t="s">
        <v>48</v>
      </c>
      <c r="G419" s="1" t="s">
        <v>16</v>
      </c>
      <c r="H419" s="1">
        <v>13045</v>
      </c>
      <c r="I419" s="1">
        <v>41.882627999999997</v>
      </c>
      <c r="J419" s="1">
        <v>-87.640973000000002</v>
      </c>
      <c r="K419" s="1">
        <v>41.893884</v>
      </c>
      <c r="L419" s="1">
        <v>-87.629405000000006</v>
      </c>
      <c r="M419" s="1" t="s">
        <v>17</v>
      </c>
      <c r="N419" s="5">
        <f t="shared" si="18"/>
        <v>4.0046296344371513E-3</v>
      </c>
      <c r="O419" s="1">
        <f t="shared" si="19"/>
        <v>5</v>
      </c>
      <c r="P419" s="1" t="str">
        <f t="shared" si="20"/>
        <v>Thu</v>
      </c>
    </row>
    <row r="420" spans="1:16" x14ac:dyDescent="0.25">
      <c r="A420" s="1" t="s">
        <v>456</v>
      </c>
      <c r="B420" s="1" t="s">
        <v>14</v>
      </c>
      <c r="C420" s="2">
        <v>45239.211585648147</v>
      </c>
      <c r="D420" s="2">
        <v>45239.219166666669</v>
      </c>
      <c r="E420" s="1" t="s">
        <v>15</v>
      </c>
      <c r="F420" s="1">
        <v>13008</v>
      </c>
      <c r="G420" s="1" t="s">
        <v>19</v>
      </c>
      <c r="H420" s="1" t="s">
        <v>20</v>
      </c>
      <c r="I420" s="1">
        <v>41.881338</v>
      </c>
      <c r="J420" s="1">
        <v>-87.624033999999995</v>
      </c>
      <c r="K420" s="1">
        <v>41.925820000000002</v>
      </c>
      <c r="L420" s="1">
        <v>-87.630701000000002</v>
      </c>
      <c r="M420" s="1" t="s">
        <v>31</v>
      </c>
      <c r="N420" s="5">
        <f t="shared" si="18"/>
        <v>7.5810185226146132E-3</v>
      </c>
      <c r="O420" s="1">
        <f t="shared" si="19"/>
        <v>5</v>
      </c>
      <c r="P420" s="1" t="str">
        <f t="shared" si="20"/>
        <v>Thu</v>
      </c>
    </row>
    <row r="421" spans="1:16" x14ac:dyDescent="0.25">
      <c r="A421" s="1" t="s">
        <v>457</v>
      </c>
      <c r="B421" s="1" t="s">
        <v>14</v>
      </c>
      <c r="C421" s="2">
        <v>45239.447881944441</v>
      </c>
      <c r="D421" s="2">
        <v>45239.48265046296</v>
      </c>
      <c r="E421" s="1" t="s">
        <v>66</v>
      </c>
      <c r="F421" s="1">
        <v>13042</v>
      </c>
      <c r="G421" s="1" t="s">
        <v>41</v>
      </c>
      <c r="H421" s="1" t="s">
        <v>42</v>
      </c>
      <c r="I421" s="1">
        <v>41.901024999999997</v>
      </c>
      <c r="J421" s="1">
        <v>-87.623812999999998</v>
      </c>
      <c r="K421" s="1">
        <v>41.903444999999998</v>
      </c>
      <c r="L421" s="1">
        <v>-87.631170999999995</v>
      </c>
      <c r="M421" s="1" t="s">
        <v>17</v>
      </c>
      <c r="N421" s="5">
        <f t="shared" si="18"/>
        <v>3.4768518518831115E-2</v>
      </c>
      <c r="O421" s="1">
        <f t="shared" si="19"/>
        <v>5</v>
      </c>
      <c r="P421" s="1" t="str">
        <f t="shared" si="20"/>
        <v>Thu</v>
      </c>
    </row>
    <row r="422" spans="1:16" x14ac:dyDescent="0.25">
      <c r="A422" s="3" t="s">
        <v>458</v>
      </c>
      <c r="B422" s="1" t="s">
        <v>37</v>
      </c>
      <c r="C422" s="2">
        <v>45239.954409722224</v>
      </c>
      <c r="D422" s="2">
        <v>45239.96466435185</v>
      </c>
      <c r="E422" s="1" t="s">
        <v>41</v>
      </c>
      <c r="F422" s="1" t="s">
        <v>42</v>
      </c>
      <c r="G422" s="1" t="s">
        <v>24</v>
      </c>
      <c r="H422" s="1">
        <v>13263</v>
      </c>
      <c r="I422" s="1">
        <v>41.902858000000002</v>
      </c>
      <c r="J422" s="1">
        <v>-87.631291000000004</v>
      </c>
      <c r="K422" s="1">
        <v>41.884658000000002</v>
      </c>
      <c r="L422" s="1">
        <v>-87.619280000000003</v>
      </c>
      <c r="M422" s="1" t="s">
        <v>31</v>
      </c>
      <c r="N422" s="5">
        <f t="shared" si="18"/>
        <v>1.0254629625706002E-2</v>
      </c>
      <c r="O422" s="1">
        <f t="shared" si="19"/>
        <v>5</v>
      </c>
      <c r="P422" s="1" t="str">
        <f t="shared" si="20"/>
        <v>Thu</v>
      </c>
    </row>
    <row r="423" spans="1:16" x14ac:dyDescent="0.25">
      <c r="A423" s="1" t="s">
        <v>459</v>
      </c>
      <c r="B423" s="1" t="s">
        <v>14</v>
      </c>
      <c r="C423" s="2">
        <v>45241.168437499997</v>
      </c>
      <c r="D423" s="2">
        <v>45241.186643518522</v>
      </c>
      <c r="E423" s="1" t="s">
        <v>19</v>
      </c>
      <c r="F423" s="1" t="s">
        <v>20</v>
      </c>
      <c r="G423" s="1" t="s">
        <v>33</v>
      </c>
      <c r="H423" s="1" t="s">
        <v>34</v>
      </c>
      <c r="I423" s="1">
        <v>41.926087000000003</v>
      </c>
      <c r="J423" s="1">
        <v>-87.630396000000005</v>
      </c>
      <c r="K423" s="1">
        <v>41.887152999999998</v>
      </c>
      <c r="L423" s="1">
        <v>-87.613193999999993</v>
      </c>
      <c r="M423" s="1" t="s">
        <v>17</v>
      </c>
      <c r="N423" s="5">
        <f t="shared" si="18"/>
        <v>1.8206018525233958E-2</v>
      </c>
      <c r="O423" s="1">
        <f t="shared" si="19"/>
        <v>7</v>
      </c>
      <c r="P423" s="1" t="str">
        <f t="shared" si="20"/>
        <v>Sat</v>
      </c>
    </row>
    <row r="424" spans="1:16" x14ac:dyDescent="0.25">
      <c r="A424" s="1" t="s">
        <v>460</v>
      </c>
      <c r="B424" s="1" t="s">
        <v>14</v>
      </c>
      <c r="C424" s="2">
        <v>45242.110856481479</v>
      </c>
      <c r="D424" s="2">
        <v>45242.119386574072</v>
      </c>
      <c r="E424" s="1" t="s">
        <v>24</v>
      </c>
      <c r="F424" s="1">
        <v>13263</v>
      </c>
      <c r="G424" s="1" t="s">
        <v>24</v>
      </c>
      <c r="H424" s="1">
        <v>13263</v>
      </c>
      <c r="I424" s="1">
        <v>41.884934999999999</v>
      </c>
      <c r="J424" s="1">
        <v>-87.619366999999997</v>
      </c>
      <c r="K424" s="1">
        <v>41.885100999999999</v>
      </c>
      <c r="L424" s="1">
        <v>-87.619776999999999</v>
      </c>
      <c r="M424" s="1" t="s">
        <v>17</v>
      </c>
      <c r="N424" s="5">
        <f t="shared" si="18"/>
        <v>8.5300925929914229E-3</v>
      </c>
      <c r="O424" s="1">
        <f t="shared" si="19"/>
        <v>1</v>
      </c>
      <c r="P424" s="1" t="str">
        <f t="shared" si="20"/>
        <v>Sun</v>
      </c>
    </row>
    <row r="425" spans="1:16" x14ac:dyDescent="0.25">
      <c r="A425" s="1" t="s">
        <v>461</v>
      </c>
      <c r="B425" s="1" t="s">
        <v>14</v>
      </c>
      <c r="C425" s="2">
        <v>45242.597754629627</v>
      </c>
      <c r="D425" s="2">
        <v>45242.607916666668</v>
      </c>
      <c r="E425" s="1" t="s">
        <v>43</v>
      </c>
      <c r="F425" s="1" t="s">
        <v>44</v>
      </c>
      <c r="G425" s="1" t="s">
        <v>57</v>
      </c>
      <c r="H425" s="1" t="s">
        <v>58</v>
      </c>
      <c r="I425" s="1">
        <v>41.902886000000002</v>
      </c>
      <c r="J425" s="1">
        <v>-87.634433000000001</v>
      </c>
      <c r="K425" s="1">
        <v>41.912602</v>
      </c>
      <c r="L425" s="1">
        <v>-87.634898000000007</v>
      </c>
      <c r="M425" s="1" t="s">
        <v>17</v>
      </c>
      <c r="N425" s="5">
        <f t="shared" si="18"/>
        <v>1.0162037040572613E-2</v>
      </c>
      <c r="O425" s="1">
        <f t="shared" si="19"/>
        <v>1</v>
      </c>
      <c r="P425" s="1" t="str">
        <f t="shared" si="20"/>
        <v>Sun</v>
      </c>
    </row>
    <row r="426" spans="1:16" x14ac:dyDescent="0.25">
      <c r="A426" s="1" t="s">
        <v>462</v>
      </c>
      <c r="B426" s="1" t="s">
        <v>14</v>
      </c>
      <c r="C426" s="2">
        <v>45243.479884259257</v>
      </c>
      <c r="D426" s="2">
        <v>45243.5002662037</v>
      </c>
      <c r="E426" s="1" t="s">
        <v>27</v>
      </c>
      <c r="F426" s="1" t="s">
        <v>28</v>
      </c>
      <c r="G426" s="1" t="s">
        <v>27</v>
      </c>
      <c r="H426" s="1" t="s">
        <v>28</v>
      </c>
      <c r="I426" s="1">
        <v>41.888987</v>
      </c>
      <c r="J426" s="1">
        <v>-87.638273999999996</v>
      </c>
      <c r="K426" s="1">
        <v>41.889318000000003</v>
      </c>
      <c r="L426" s="1">
        <v>-87.638589999999994</v>
      </c>
      <c r="M426" s="1" t="s">
        <v>17</v>
      </c>
      <c r="N426" s="5">
        <f t="shared" si="18"/>
        <v>2.0381944443215616E-2</v>
      </c>
      <c r="O426" s="1">
        <f t="shared" si="19"/>
        <v>2</v>
      </c>
      <c r="P426" s="1" t="str">
        <f t="shared" si="20"/>
        <v>Mon</v>
      </c>
    </row>
    <row r="427" spans="1:16" x14ac:dyDescent="0.25">
      <c r="A427" s="1" t="s">
        <v>463</v>
      </c>
      <c r="B427" s="1" t="s">
        <v>14</v>
      </c>
      <c r="C427" s="2">
        <v>45244.503275462965</v>
      </c>
      <c r="D427" s="2">
        <v>45244.514328703706</v>
      </c>
      <c r="E427" s="1" t="s">
        <v>23</v>
      </c>
      <c r="F427" s="1">
        <v>13011</v>
      </c>
      <c r="G427" s="1" t="s">
        <v>16</v>
      </c>
      <c r="H427" s="1">
        <v>13045</v>
      </c>
      <c r="I427" s="1">
        <v>41.878847</v>
      </c>
      <c r="J427" s="1">
        <v>-87.640067999999999</v>
      </c>
      <c r="K427" s="1">
        <v>41.894015000000003</v>
      </c>
      <c r="L427" s="1">
        <v>-87.629086000000001</v>
      </c>
      <c r="M427" s="1" t="s">
        <v>17</v>
      </c>
      <c r="N427" s="5">
        <f t="shared" si="18"/>
        <v>1.1053240741603076E-2</v>
      </c>
      <c r="O427" s="1">
        <f t="shared" si="19"/>
        <v>3</v>
      </c>
      <c r="P427" s="1" t="str">
        <f t="shared" si="20"/>
        <v>Tue</v>
      </c>
    </row>
    <row r="428" spans="1:16" x14ac:dyDescent="0.25">
      <c r="A428" s="1" t="s">
        <v>464</v>
      </c>
      <c r="B428" s="1" t="s">
        <v>37</v>
      </c>
      <c r="C428" s="2">
        <v>45245.016064814816</v>
      </c>
      <c r="D428" s="2">
        <v>45245.022499999999</v>
      </c>
      <c r="E428" s="1" t="s">
        <v>41</v>
      </c>
      <c r="F428" s="1" t="s">
        <v>42</v>
      </c>
      <c r="G428" s="1" t="s">
        <v>24</v>
      </c>
      <c r="H428" s="1">
        <v>13263</v>
      </c>
      <c r="I428" s="1">
        <v>41.902678999999999</v>
      </c>
      <c r="J428" s="1">
        <v>-87.631038000000004</v>
      </c>
      <c r="K428" s="1">
        <v>41.884774999999998</v>
      </c>
      <c r="L428" s="1">
        <v>-87.619136999999995</v>
      </c>
      <c r="M428" s="1" t="s">
        <v>17</v>
      </c>
      <c r="N428" s="5">
        <f t="shared" si="18"/>
        <v>6.435185183363501E-3</v>
      </c>
      <c r="O428" s="1">
        <f t="shared" si="19"/>
        <v>4</v>
      </c>
      <c r="P428" s="1" t="str">
        <f t="shared" si="20"/>
        <v>Wed</v>
      </c>
    </row>
    <row r="429" spans="1:16" x14ac:dyDescent="0.25">
      <c r="A429" s="1" t="s">
        <v>465</v>
      </c>
      <c r="B429" s="1" t="s">
        <v>37</v>
      </c>
      <c r="C429" s="2">
        <v>45245.779652777775</v>
      </c>
      <c r="D429" s="2">
        <v>45245.810497685183</v>
      </c>
      <c r="E429" s="1" t="s">
        <v>66</v>
      </c>
      <c r="F429" s="1">
        <v>13042</v>
      </c>
      <c r="G429" s="1" t="s">
        <v>15</v>
      </c>
      <c r="H429" s="1">
        <v>13008</v>
      </c>
      <c r="I429" s="1">
        <v>41.901401</v>
      </c>
      <c r="J429" s="1">
        <v>-87.623654000000002</v>
      </c>
      <c r="K429" s="1">
        <v>41.881273999999998</v>
      </c>
      <c r="L429" s="1">
        <v>-87.623778999999999</v>
      </c>
      <c r="M429" s="1" t="s">
        <v>31</v>
      </c>
      <c r="N429" s="5">
        <f t="shared" si="18"/>
        <v>3.0844907407299615E-2</v>
      </c>
      <c r="O429" s="1">
        <f t="shared" si="19"/>
        <v>4</v>
      </c>
      <c r="P429" s="1" t="str">
        <f t="shared" si="20"/>
        <v>Wed</v>
      </c>
    </row>
    <row r="430" spans="1:16" x14ac:dyDescent="0.25">
      <c r="A430" s="1" t="s">
        <v>466</v>
      </c>
      <c r="B430" s="1" t="s">
        <v>37</v>
      </c>
      <c r="C430" s="2">
        <v>45246.269687499997</v>
      </c>
      <c r="D430" s="2">
        <v>45246.28020833333</v>
      </c>
      <c r="E430" s="1" t="s">
        <v>30</v>
      </c>
      <c r="F430" s="1">
        <v>13137</v>
      </c>
      <c r="G430" s="1" t="s">
        <v>33</v>
      </c>
      <c r="H430" s="1" t="s">
        <v>34</v>
      </c>
      <c r="I430" s="1">
        <v>41.937949000000003</v>
      </c>
      <c r="J430" s="1">
        <v>-87.644003999999995</v>
      </c>
      <c r="K430" s="1">
        <v>41.886603000000001</v>
      </c>
      <c r="L430" s="1">
        <v>-87.612885000000006</v>
      </c>
      <c r="M430" s="1" t="s">
        <v>31</v>
      </c>
      <c r="N430" s="5">
        <f t="shared" si="18"/>
        <v>1.0520833333430346E-2</v>
      </c>
      <c r="O430" s="1">
        <f t="shared" si="19"/>
        <v>5</v>
      </c>
      <c r="P430" s="1" t="str">
        <f t="shared" si="20"/>
        <v>Thu</v>
      </c>
    </row>
    <row r="431" spans="1:16" x14ac:dyDescent="0.25">
      <c r="A431" s="1" t="s">
        <v>467</v>
      </c>
      <c r="B431" s="1" t="s">
        <v>14</v>
      </c>
      <c r="C431" s="2">
        <v>45249.33185185185</v>
      </c>
      <c r="D431" s="2">
        <v>45249.334652777776</v>
      </c>
      <c r="E431" s="1" t="s">
        <v>19</v>
      </c>
      <c r="F431" s="1" t="s">
        <v>20</v>
      </c>
      <c r="G431" s="1" t="s">
        <v>16</v>
      </c>
      <c r="H431" s="1">
        <v>13045</v>
      </c>
      <c r="I431" s="1">
        <v>41.926228000000002</v>
      </c>
      <c r="J431" s="1">
        <v>-87.630662000000001</v>
      </c>
      <c r="K431" s="1">
        <v>41.894075999999998</v>
      </c>
      <c r="L431" s="1">
        <v>-87.629292000000007</v>
      </c>
      <c r="M431" s="1" t="s">
        <v>17</v>
      </c>
      <c r="N431" s="5">
        <f t="shared" si="18"/>
        <v>2.8009259258396924E-3</v>
      </c>
      <c r="O431" s="1">
        <f t="shared" si="19"/>
        <v>1</v>
      </c>
      <c r="P431" s="1" t="str">
        <f t="shared" si="20"/>
        <v>Sun</v>
      </c>
    </row>
    <row r="432" spans="1:16" x14ac:dyDescent="0.25">
      <c r="A432" s="1" t="s">
        <v>468</v>
      </c>
      <c r="B432" s="1" t="s">
        <v>37</v>
      </c>
      <c r="C432" s="2">
        <v>45249.382581018515</v>
      </c>
      <c r="D432" s="2">
        <v>45249.388206018521</v>
      </c>
      <c r="E432" s="1" t="s">
        <v>30</v>
      </c>
      <c r="F432" s="1">
        <v>13137</v>
      </c>
      <c r="G432" s="1" t="s">
        <v>16</v>
      </c>
      <c r="H432" s="1">
        <v>13045</v>
      </c>
      <c r="I432" s="1">
        <v>41.937620000000003</v>
      </c>
      <c r="J432" s="1">
        <v>-87.643606000000005</v>
      </c>
      <c r="K432" s="1">
        <v>41.894350000000003</v>
      </c>
      <c r="L432" s="1">
        <v>-87.629721000000004</v>
      </c>
      <c r="M432" s="1" t="s">
        <v>17</v>
      </c>
      <c r="N432" s="5">
        <f t="shared" si="18"/>
        <v>5.6250000052386895E-3</v>
      </c>
      <c r="O432" s="1">
        <f t="shared" si="19"/>
        <v>1</v>
      </c>
      <c r="P432" s="1" t="str">
        <f t="shared" si="20"/>
        <v>Sun</v>
      </c>
    </row>
    <row r="433" spans="1:16" x14ac:dyDescent="0.25">
      <c r="A433" s="1" t="s">
        <v>469</v>
      </c>
      <c r="B433" s="1" t="s">
        <v>26</v>
      </c>
      <c r="C433" s="2">
        <v>45249.863819444443</v>
      </c>
      <c r="D433" s="2">
        <v>45249.888506944444</v>
      </c>
      <c r="E433" s="1" t="s">
        <v>24</v>
      </c>
      <c r="F433" s="1">
        <v>13263</v>
      </c>
      <c r="G433" s="1" t="s">
        <v>24</v>
      </c>
      <c r="H433" s="1">
        <v>13263</v>
      </c>
      <c r="I433" s="1">
        <v>41.884931000000002</v>
      </c>
      <c r="J433" s="1">
        <v>-87.619999000000007</v>
      </c>
      <c r="K433" s="1">
        <v>41.884858999999999</v>
      </c>
      <c r="L433" s="1">
        <v>-87.619856999999996</v>
      </c>
      <c r="M433" s="1" t="s">
        <v>31</v>
      </c>
      <c r="N433" s="5">
        <f t="shared" si="18"/>
        <v>2.4687500001164153E-2</v>
      </c>
      <c r="O433" s="1">
        <f t="shared" si="19"/>
        <v>1</v>
      </c>
      <c r="P433" s="1" t="str">
        <f t="shared" si="20"/>
        <v>Sun</v>
      </c>
    </row>
    <row r="434" spans="1:16" x14ac:dyDescent="0.25">
      <c r="A434" s="1" t="s">
        <v>470</v>
      </c>
      <c r="B434" s="1" t="s">
        <v>14</v>
      </c>
      <c r="C434" s="2">
        <v>45249.972997685189</v>
      </c>
      <c r="D434" s="2">
        <v>45249.982291666667</v>
      </c>
      <c r="E434" s="1" t="s">
        <v>57</v>
      </c>
      <c r="F434" s="1" t="s">
        <v>58</v>
      </c>
      <c r="G434" s="1" t="s">
        <v>47</v>
      </c>
      <c r="H434" s="1" t="s">
        <v>48</v>
      </c>
      <c r="I434" s="1">
        <v>41.911802999999999</v>
      </c>
      <c r="J434" s="1">
        <v>-87.635104999999996</v>
      </c>
      <c r="K434" s="1">
        <v>41.882359999999998</v>
      </c>
      <c r="L434" s="1">
        <v>-87.641357999999997</v>
      </c>
      <c r="M434" s="1" t="s">
        <v>17</v>
      </c>
      <c r="N434" s="5">
        <f t="shared" si="18"/>
        <v>9.29398147854954E-3</v>
      </c>
      <c r="O434" s="1">
        <f t="shared" si="19"/>
        <v>1</v>
      </c>
      <c r="P434" s="1" t="str">
        <f t="shared" si="20"/>
        <v>Sun</v>
      </c>
    </row>
    <row r="435" spans="1:16" x14ac:dyDescent="0.25">
      <c r="A435" s="3" t="s">
        <v>471</v>
      </c>
      <c r="B435" s="1" t="s">
        <v>14</v>
      </c>
      <c r="C435" s="2">
        <v>45250.434444444443</v>
      </c>
      <c r="D435" s="2">
        <v>45250.437222222223</v>
      </c>
      <c r="E435" s="1" t="s">
        <v>41</v>
      </c>
      <c r="F435" s="1" t="s">
        <v>42</v>
      </c>
      <c r="G435" s="1" t="s">
        <v>43</v>
      </c>
      <c r="H435" s="1" t="s">
        <v>44</v>
      </c>
      <c r="I435" s="1">
        <v>41.902582000000002</v>
      </c>
      <c r="J435" s="1">
        <v>-87.631388000000001</v>
      </c>
      <c r="K435" s="1">
        <v>41.902845999999997</v>
      </c>
      <c r="L435" s="1">
        <v>-87.633868000000007</v>
      </c>
      <c r="M435" s="1" t="s">
        <v>17</v>
      </c>
      <c r="N435" s="5">
        <f t="shared" si="18"/>
        <v>2.7777777795563452E-3</v>
      </c>
      <c r="O435" s="1">
        <f t="shared" si="19"/>
        <v>2</v>
      </c>
      <c r="P435" s="1" t="str">
        <f t="shared" si="20"/>
        <v>Mon</v>
      </c>
    </row>
    <row r="436" spans="1:16" x14ac:dyDescent="0.25">
      <c r="A436" s="1" t="s">
        <v>472</v>
      </c>
      <c r="B436" s="1" t="s">
        <v>14</v>
      </c>
      <c r="C436" s="2">
        <v>45250.521226851852</v>
      </c>
      <c r="D436" s="2">
        <v>45250.536527777775</v>
      </c>
      <c r="E436" s="1" t="s">
        <v>27</v>
      </c>
      <c r="F436" s="1" t="s">
        <v>28</v>
      </c>
      <c r="G436" s="1" t="s">
        <v>30</v>
      </c>
      <c r="H436" s="1">
        <v>13137</v>
      </c>
      <c r="I436" s="1">
        <v>41.888725000000001</v>
      </c>
      <c r="J436" s="1">
        <v>-87.638278999999997</v>
      </c>
      <c r="K436" s="1">
        <v>41.937855999999996</v>
      </c>
      <c r="L436" s="1">
        <v>-87.644244999999998</v>
      </c>
      <c r="M436" s="1" t="s">
        <v>31</v>
      </c>
      <c r="N436" s="5">
        <f t="shared" si="18"/>
        <v>1.5300925922929309E-2</v>
      </c>
      <c r="O436" s="1">
        <f t="shared" si="19"/>
        <v>2</v>
      </c>
      <c r="P436" s="1" t="str">
        <f t="shared" si="20"/>
        <v>Mon</v>
      </c>
    </row>
    <row r="437" spans="1:16" x14ac:dyDescent="0.25">
      <c r="A437" s="1" t="s">
        <v>473</v>
      </c>
      <c r="B437" s="1" t="s">
        <v>14</v>
      </c>
      <c r="C437" s="2">
        <v>45251.946909722225</v>
      </c>
      <c r="D437" s="2">
        <v>45251.967858796299</v>
      </c>
      <c r="E437" s="1" t="s">
        <v>27</v>
      </c>
      <c r="F437" s="1" t="s">
        <v>28</v>
      </c>
      <c r="G437" s="1" t="s">
        <v>27</v>
      </c>
      <c r="H437" s="1" t="s">
        <v>28</v>
      </c>
      <c r="I437" s="1">
        <v>41.889512000000003</v>
      </c>
      <c r="J437" s="1">
        <v>-87.638684999999995</v>
      </c>
      <c r="K437" s="1">
        <v>41.888863999999998</v>
      </c>
      <c r="L437" s="1">
        <v>-87.638964999999999</v>
      </c>
      <c r="M437" s="1" t="s">
        <v>31</v>
      </c>
      <c r="N437" s="5">
        <f t="shared" si="18"/>
        <v>2.0949074074451346E-2</v>
      </c>
      <c r="O437" s="1">
        <f t="shared" si="19"/>
        <v>3</v>
      </c>
      <c r="P437" s="1" t="str">
        <f t="shared" si="20"/>
        <v>Tue</v>
      </c>
    </row>
    <row r="438" spans="1:16" x14ac:dyDescent="0.25">
      <c r="A438" s="1" t="s">
        <v>474</v>
      </c>
      <c r="B438" s="1" t="s">
        <v>37</v>
      </c>
      <c r="C438" s="2">
        <v>45251.986064814817</v>
      </c>
      <c r="D438" s="2">
        <v>45251.989849537036</v>
      </c>
      <c r="E438" s="1" t="s">
        <v>21</v>
      </c>
      <c r="F438" s="1">
        <v>21213</v>
      </c>
      <c r="G438" s="1" t="s">
        <v>21</v>
      </c>
      <c r="H438" s="1">
        <v>21213</v>
      </c>
      <c r="I438" s="1">
        <v>41.834504000000003</v>
      </c>
      <c r="J438" s="1">
        <v>-87.625470000000007</v>
      </c>
      <c r="K438" s="1">
        <v>41.834547000000001</v>
      </c>
      <c r="L438" s="1">
        <v>-87.625523999999999</v>
      </c>
      <c r="M438" s="1" t="s">
        <v>17</v>
      </c>
      <c r="N438" s="5">
        <f t="shared" si="18"/>
        <v>3.7847222192795016E-3</v>
      </c>
      <c r="O438" s="1">
        <f t="shared" si="19"/>
        <v>3</v>
      </c>
      <c r="P438" s="1" t="str">
        <f t="shared" si="20"/>
        <v>Tue</v>
      </c>
    </row>
    <row r="439" spans="1:16" x14ac:dyDescent="0.25">
      <c r="A439" s="1" t="s">
        <v>475</v>
      </c>
      <c r="B439" s="1" t="s">
        <v>14</v>
      </c>
      <c r="C439" s="2">
        <v>45253.134282407409</v>
      </c>
      <c r="D439" s="2">
        <v>45253.140960648147</v>
      </c>
      <c r="E439" s="1" t="s">
        <v>35</v>
      </c>
      <c r="F439" s="1">
        <v>13022</v>
      </c>
      <c r="G439" s="1" t="s">
        <v>57</v>
      </c>
      <c r="H439" s="1" t="s">
        <v>58</v>
      </c>
      <c r="I439" s="1">
        <v>41.892243000000001</v>
      </c>
      <c r="J439" s="1">
        <v>-87.612482999999997</v>
      </c>
      <c r="K439" s="1">
        <v>41.912194999999997</v>
      </c>
      <c r="L439" s="1">
        <v>-87.634197999999998</v>
      </c>
      <c r="M439" s="1" t="s">
        <v>17</v>
      </c>
      <c r="N439" s="5">
        <f t="shared" si="18"/>
        <v>6.6782407375285402E-3</v>
      </c>
      <c r="O439" s="1">
        <f t="shared" si="19"/>
        <v>5</v>
      </c>
      <c r="P439" s="1" t="str">
        <f t="shared" si="20"/>
        <v>Thu</v>
      </c>
    </row>
    <row r="440" spans="1:16" x14ac:dyDescent="0.25">
      <c r="A440" s="1" t="s">
        <v>476</v>
      </c>
      <c r="B440" s="1" t="s">
        <v>37</v>
      </c>
      <c r="C440" s="2">
        <v>45253.328125</v>
      </c>
      <c r="D440" s="2">
        <v>45253.33488425926</v>
      </c>
      <c r="E440" s="1" t="s">
        <v>41</v>
      </c>
      <c r="F440" s="1" t="s">
        <v>42</v>
      </c>
      <c r="G440" s="1" t="s">
        <v>43</v>
      </c>
      <c r="H440" s="1" t="s">
        <v>44</v>
      </c>
      <c r="I440" s="1">
        <v>41.902863000000004</v>
      </c>
      <c r="J440" s="1">
        <v>-87.631299999999996</v>
      </c>
      <c r="K440" s="1">
        <v>41.902859999999997</v>
      </c>
      <c r="L440" s="1">
        <v>-87.634743</v>
      </c>
      <c r="M440" s="1" t="s">
        <v>17</v>
      </c>
      <c r="N440" s="5">
        <f t="shared" si="18"/>
        <v>6.7592592604341917E-3</v>
      </c>
      <c r="O440" s="1">
        <f t="shared" si="19"/>
        <v>5</v>
      </c>
      <c r="P440" s="1" t="str">
        <f t="shared" si="20"/>
        <v>Thu</v>
      </c>
    </row>
    <row r="441" spans="1:16" x14ac:dyDescent="0.25">
      <c r="A441" s="1" t="s">
        <v>477</v>
      </c>
      <c r="B441" s="1" t="s">
        <v>14</v>
      </c>
      <c r="C441" s="2">
        <v>45253.414525462962</v>
      </c>
      <c r="D441" s="2">
        <v>45253.424143518518</v>
      </c>
      <c r="E441" s="1" t="s">
        <v>33</v>
      </c>
      <c r="F441" s="1" t="s">
        <v>34</v>
      </c>
      <c r="G441" s="1" t="s">
        <v>27</v>
      </c>
      <c r="H441" s="1" t="s">
        <v>28</v>
      </c>
      <c r="I441" s="1">
        <v>41.886709000000003</v>
      </c>
      <c r="J441" s="1">
        <v>-87.612820999999997</v>
      </c>
      <c r="K441" s="1">
        <v>41.888987</v>
      </c>
      <c r="L441" s="1">
        <v>-87.638824</v>
      </c>
      <c r="M441" s="1" t="s">
        <v>17</v>
      </c>
      <c r="N441" s="5">
        <f t="shared" si="18"/>
        <v>9.6180555556202307E-3</v>
      </c>
      <c r="O441" s="1">
        <f t="shared" si="19"/>
        <v>5</v>
      </c>
      <c r="P441" s="1" t="str">
        <f t="shared" si="20"/>
        <v>Thu</v>
      </c>
    </row>
    <row r="442" spans="1:16" x14ac:dyDescent="0.25">
      <c r="A442" s="1" t="s">
        <v>478</v>
      </c>
      <c r="B442" s="1" t="s">
        <v>14</v>
      </c>
      <c r="C442" s="2">
        <v>45253.748541666668</v>
      </c>
      <c r="D442" s="2">
        <v>45253.765474537038</v>
      </c>
      <c r="E442" s="1" t="s">
        <v>47</v>
      </c>
      <c r="F442" s="1" t="s">
        <v>48</v>
      </c>
      <c r="G442" s="1" t="s">
        <v>23</v>
      </c>
      <c r="H442" s="1">
        <v>13011</v>
      </c>
      <c r="I442" s="1">
        <v>41.882465000000003</v>
      </c>
      <c r="J442" s="1">
        <v>-87.641497999999999</v>
      </c>
      <c r="K442" s="1">
        <v>41.879463000000001</v>
      </c>
      <c r="L442" s="1">
        <v>-87.639859999999999</v>
      </c>
      <c r="M442" s="1" t="s">
        <v>31</v>
      </c>
      <c r="N442" s="5">
        <f t="shared" si="18"/>
        <v>1.69328703705105E-2</v>
      </c>
      <c r="O442" s="1">
        <f t="shared" si="19"/>
        <v>5</v>
      </c>
      <c r="P442" s="1" t="str">
        <f t="shared" si="20"/>
        <v>Thu</v>
      </c>
    </row>
    <row r="443" spans="1:16" x14ac:dyDescent="0.25">
      <c r="A443" s="1" t="s">
        <v>479</v>
      </c>
      <c r="B443" s="1" t="s">
        <v>37</v>
      </c>
      <c r="C443" s="2">
        <v>45254.435150462959</v>
      </c>
      <c r="D443" s="2">
        <v>45254.440057870372</v>
      </c>
      <c r="E443" s="1" t="s">
        <v>47</v>
      </c>
      <c r="F443" s="1" t="s">
        <v>48</v>
      </c>
      <c r="G443" s="1" t="s">
        <v>47</v>
      </c>
      <c r="H443" s="1" t="s">
        <v>48</v>
      </c>
      <c r="I443" s="1">
        <v>41.882668000000002</v>
      </c>
      <c r="J443" s="1">
        <v>-87.641547000000003</v>
      </c>
      <c r="K443" s="1">
        <v>41.882218999999999</v>
      </c>
      <c r="L443" s="1">
        <v>-87.640878000000001</v>
      </c>
      <c r="M443" s="1" t="s">
        <v>17</v>
      </c>
      <c r="N443" s="5">
        <f t="shared" si="18"/>
        <v>4.9074074122472666E-3</v>
      </c>
      <c r="O443" s="1">
        <f t="shared" si="19"/>
        <v>6</v>
      </c>
      <c r="P443" s="1" t="str">
        <f t="shared" si="20"/>
        <v>Fri</v>
      </c>
    </row>
    <row r="444" spans="1:16" x14ac:dyDescent="0.25">
      <c r="A444" s="1" t="s">
        <v>480</v>
      </c>
      <c r="B444" s="1" t="s">
        <v>14</v>
      </c>
      <c r="C444" s="2">
        <v>45254.820532407408</v>
      </c>
      <c r="D444" s="2">
        <v>45254.827627314815</v>
      </c>
      <c r="E444" s="1" t="s">
        <v>21</v>
      </c>
      <c r="F444" s="1">
        <v>21213</v>
      </c>
      <c r="G444" s="1" t="s">
        <v>43</v>
      </c>
      <c r="H444" s="1" t="s">
        <v>44</v>
      </c>
      <c r="I444" s="1">
        <v>41.834654999999998</v>
      </c>
      <c r="J444" s="1">
        <v>-87.626285999999993</v>
      </c>
      <c r="K444" s="1">
        <v>41.903688000000002</v>
      </c>
      <c r="L444" s="1">
        <v>-87.634697000000003</v>
      </c>
      <c r="M444" s="1" t="s">
        <v>17</v>
      </c>
      <c r="N444" s="5">
        <f t="shared" si="18"/>
        <v>7.0949074070085771E-3</v>
      </c>
      <c r="O444" s="1">
        <f t="shared" si="19"/>
        <v>6</v>
      </c>
      <c r="P444" s="1" t="str">
        <f t="shared" si="20"/>
        <v>Fri</v>
      </c>
    </row>
    <row r="445" spans="1:16" x14ac:dyDescent="0.25">
      <c r="A445" s="1" t="s">
        <v>481</v>
      </c>
      <c r="B445" s="1" t="s">
        <v>37</v>
      </c>
      <c r="C445" s="2">
        <v>45256.055856481478</v>
      </c>
      <c r="D445" s="2">
        <v>45256.065289351849</v>
      </c>
      <c r="E445" s="1" t="s">
        <v>66</v>
      </c>
      <c r="F445" s="1">
        <v>13042</v>
      </c>
      <c r="G445" s="1" t="s">
        <v>57</v>
      </c>
      <c r="H445" s="1" t="s">
        <v>58</v>
      </c>
      <c r="I445" s="1">
        <v>41.901327000000002</v>
      </c>
      <c r="J445" s="1">
        <v>-87.623321000000004</v>
      </c>
      <c r="K445" s="1">
        <v>41.91187</v>
      </c>
      <c r="L445" s="1">
        <v>-87.634272999999993</v>
      </c>
      <c r="M445" s="1" t="s">
        <v>31</v>
      </c>
      <c r="N445" s="5">
        <f t="shared" si="18"/>
        <v>9.4328703708015382E-3</v>
      </c>
      <c r="O445" s="1">
        <f t="shared" si="19"/>
        <v>1</v>
      </c>
      <c r="P445" s="1" t="str">
        <f t="shared" si="20"/>
        <v>Sun</v>
      </c>
    </row>
    <row r="446" spans="1:16" x14ac:dyDescent="0.25">
      <c r="A446" s="1" t="s">
        <v>482</v>
      </c>
      <c r="B446" s="1" t="s">
        <v>14</v>
      </c>
      <c r="C446" s="2">
        <v>45258.310300925928</v>
      </c>
      <c r="D446" s="2">
        <v>45258.320335648146</v>
      </c>
      <c r="E446" s="1" t="s">
        <v>66</v>
      </c>
      <c r="F446" s="1">
        <v>13042</v>
      </c>
      <c r="G446" s="1" t="s">
        <v>66</v>
      </c>
      <c r="H446" s="1">
        <v>13042</v>
      </c>
      <c r="I446" s="1">
        <v>41.900464999999997</v>
      </c>
      <c r="J446" s="1">
        <v>-87.623831999999993</v>
      </c>
      <c r="K446" s="1">
        <v>41.900543999999996</v>
      </c>
      <c r="L446" s="1">
        <v>-87.623593999999997</v>
      </c>
      <c r="M446" s="1" t="s">
        <v>31</v>
      </c>
      <c r="N446" s="5">
        <f t="shared" si="18"/>
        <v>1.003472221782431E-2</v>
      </c>
      <c r="O446" s="1">
        <f t="shared" si="19"/>
        <v>3</v>
      </c>
      <c r="P446" s="1" t="str">
        <f t="shared" si="20"/>
        <v>Tue</v>
      </c>
    </row>
    <row r="447" spans="1:16" x14ac:dyDescent="0.25">
      <c r="A447" s="1" t="s">
        <v>483</v>
      </c>
      <c r="B447" s="1" t="s">
        <v>14</v>
      </c>
      <c r="C447" s="2">
        <v>45258.514270833337</v>
      </c>
      <c r="D447" s="2">
        <v>45258.534548611111</v>
      </c>
      <c r="E447" s="1" t="s">
        <v>43</v>
      </c>
      <c r="F447" s="1" t="s">
        <v>44</v>
      </c>
      <c r="G447" s="1" t="s">
        <v>66</v>
      </c>
      <c r="H447" s="1">
        <v>13042</v>
      </c>
      <c r="I447" s="1">
        <v>41.903343999999997</v>
      </c>
      <c r="J447" s="1">
        <v>-87.633889999999994</v>
      </c>
      <c r="K447" s="1">
        <v>41.900666999999999</v>
      </c>
      <c r="L447" s="1">
        <v>-87.623542</v>
      </c>
      <c r="M447" s="1" t="s">
        <v>31</v>
      </c>
      <c r="N447" s="5">
        <f t="shared" si="18"/>
        <v>2.0277777774026617E-2</v>
      </c>
      <c r="O447" s="1">
        <f t="shared" si="19"/>
        <v>3</v>
      </c>
      <c r="P447" s="1" t="str">
        <f t="shared" si="20"/>
        <v>Tue</v>
      </c>
    </row>
    <row r="448" spans="1:16" x14ac:dyDescent="0.25">
      <c r="A448" s="1" t="s">
        <v>484</v>
      </c>
      <c r="B448" s="1" t="s">
        <v>37</v>
      </c>
      <c r="C448" s="2">
        <v>45258.752141203702</v>
      </c>
      <c r="D448" s="2">
        <v>45258.769548611112</v>
      </c>
      <c r="E448" s="1" t="s">
        <v>57</v>
      </c>
      <c r="F448" s="1" t="s">
        <v>58</v>
      </c>
      <c r="G448" s="1" t="s">
        <v>57</v>
      </c>
      <c r="H448" s="1" t="s">
        <v>58</v>
      </c>
      <c r="I448" s="1">
        <v>41.911759000000004</v>
      </c>
      <c r="J448" s="1">
        <v>-87.634625999999997</v>
      </c>
      <c r="K448" s="1">
        <v>41.911901999999998</v>
      </c>
      <c r="L448" s="1">
        <v>-87.635135000000005</v>
      </c>
      <c r="M448" s="1" t="s">
        <v>31</v>
      </c>
      <c r="N448" s="5">
        <f t="shared" si="18"/>
        <v>1.7407407409336884E-2</v>
      </c>
      <c r="O448" s="1">
        <f t="shared" si="19"/>
        <v>3</v>
      </c>
      <c r="P448" s="1" t="str">
        <f t="shared" si="20"/>
        <v>Tue</v>
      </c>
    </row>
    <row r="449" spans="1:16" x14ac:dyDescent="0.25">
      <c r="A449" s="1" t="s">
        <v>485</v>
      </c>
      <c r="B449" s="1" t="s">
        <v>14</v>
      </c>
      <c r="C449" s="2">
        <v>45258.831064814818</v>
      </c>
      <c r="D449" s="2">
        <v>45258.834120370368</v>
      </c>
      <c r="E449" s="1" t="s">
        <v>24</v>
      </c>
      <c r="F449" s="1">
        <v>13263</v>
      </c>
      <c r="G449" s="1" t="s">
        <v>24</v>
      </c>
      <c r="H449" s="1">
        <v>13263</v>
      </c>
      <c r="I449" s="1">
        <v>41.884490999999997</v>
      </c>
      <c r="J449" s="1">
        <v>-87.619146000000001</v>
      </c>
      <c r="K449" s="1">
        <v>41.884357000000001</v>
      </c>
      <c r="L449" s="1">
        <v>-87.619300999999993</v>
      </c>
      <c r="M449" s="1" t="s">
        <v>17</v>
      </c>
      <c r="N449" s="5">
        <f t="shared" si="18"/>
        <v>3.0555555495084263E-3</v>
      </c>
      <c r="O449" s="1">
        <f t="shared" si="19"/>
        <v>3</v>
      </c>
      <c r="P449" s="1" t="str">
        <f t="shared" si="20"/>
        <v>Tue</v>
      </c>
    </row>
    <row r="450" spans="1:16" x14ac:dyDescent="0.25">
      <c r="A450" s="1" t="s">
        <v>486</v>
      </c>
      <c r="B450" s="1" t="s">
        <v>14</v>
      </c>
      <c r="C450" s="2">
        <v>45259.251273148147</v>
      </c>
      <c r="D450" s="2">
        <v>45259.254803240743</v>
      </c>
      <c r="E450" s="1" t="s">
        <v>15</v>
      </c>
      <c r="F450" s="1">
        <v>13008</v>
      </c>
      <c r="G450" s="1" t="s">
        <v>19</v>
      </c>
      <c r="H450" s="1" t="s">
        <v>20</v>
      </c>
      <c r="I450" s="1">
        <v>41.881523999999999</v>
      </c>
      <c r="J450" s="1">
        <v>-87.623632999999998</v>
      </c>
      <c r="K450" s="1">
        <v>41.925913999999999</v>
      </c>
      <c r="L450" s="1">
        <v>-87.630796000000004</v>
      </c>
      <c r="M450" s="1" t="s">
        <v>17</v>
      </c>
      <c r="N450" s="5">
        <f t="shared" si="18"/>
        <v>3.5300925956107676E-3</v>
      </c>
      <c r="O450" s="1">
        <f t="shared" si="19"/>
        <v>4</v>
      </c>
      <c r="P450" s="1" t="str">
        <f t="shared" si="20"/>
        <v>Wed</v>
      </c>
    </row>
    <row r="451" spans="1:16" x14ac:dyDescent="0.25">
      <c r="A451" s="1" t="s">
        <v>487</v>
      </c>
      <c r="B451" s="1" t="s">
        <v>14</v>
      </c>
      <c r="C451" s="2">
        <v>45259.306828703702</v>
      </c>
      <c r="D451" s="2">
        <v>45259.318379629629</v>
      </c>
      <c r="E451" s="1" t="s">
        <v>33</v>
      </c>
      <c r="F451" s="1" t="s">
        <v>34</v>
      </c>
      <c r="G451" s="1" t="s">
        <v>43</v>
      </c>
      <c r="H451" s="1" t="s">
        <v>44</v>
      </c>
      <c r="I451" s="1">
        <v>41.887121999999998</v>
      </c>
      <c r="J451" s="1">
        <v>-87.612425000000002</v>
      </c>
      <c r="K451" s="1">
        <v>41.903320999999998</v>
      </c>
      <c r="L451" s="1">
        <v>-87.634321999999997</v>
      </c>
      <c r="M451" s="1" t="s">
        <v>31</v>
      </c>
      <c r="N451" s="5">
        <f t="shared" ref="N451:N501" si="21">D451-C451</f>
        <v>1.1550925926712807E-2</v>
      </c>
      <c r="O451" s="1">
        <f t="shared" ref="O451:O501" si="22">WEEKDAY(C451,1)</f>
        <v>4</v>
      </c>
      <c r="P451" s="1" t="str">
        <f t="shared" ref="P451:P501" si="23">CHOOSE(O451,"Sun","Mon","Tue","Wed","Thu","Fri","Sat")</f>
        <v>Wed</v>
      </c>
    </row>
    <row r="452" spans="1:16" x14ac:dyDescent="0.25">
      <c r="A452" s="1" t="s">
        <v>488</v>
      </c>
      <c r="B452" s="1" t="s">
        <v>37</v>
      </c>
      <c r="C452" s="2">
        <v>45259.373391203706</v>
      </c>
      <c r="D452" s="2">
        <v>45259.38652777778</v>
      </c>
      <c r="E452" s="1" t="s">
        <v>21</v>
      </c>
      <c r="F452" s="1">
        <v>21213</v>
      </c>
      <c r="G452" s="1" t="s">
        <v>33</v>
      </c>
      <c r="H452" s="1" t="s">
        <v>34</v>
      </c>
      <c r="I452" s="1">
        <v>41.834871</v>
      </c>
      <c r="J452" s="1">
        <v>-87.626242000000005</v>
      </c>
      <c r="K452" s="1">
        <v>41.886837999999997</v>
      </c>
      <c r="L452" s="1">
        <v>-87.612778000000006</v>
      </c>
      <c r="M452" s="1" t="s">
        <v>17</v>
      </c>
      <c r="N452" s="5">
        <f t="shared" si="21"/>
        <v>1.3136574074451346E-2</v>
      </c>
      <c r="O452" s="1">
        <f t="shared" si="22"/>
        <v>4</v>
      </c>
      <c r="P452" s="1" t="str">
        <f t="shared" si="23"/>
        <v>Wed</v>
      </c>
    </row>
    <row r="453" spans="1:16" x14ac:dyDescent="0.25">
      <c r="A453" s="1" t="s">
        <v>489</v>
      </c>
      <c r="B453" s="1" t="s">
        <v>14</v>
      </c>
      <c r="C453" s="2">
        <v>45259.638124999998</v>
      </c>
      <c r="D453" s="2">
        <v>45259.641168981485</v>
      </c>
      <c r="E453" s="1" t="s">
        <v>23</v>
      </c>
      <c r="F453" s="1">
        <v>13011</v>
      </c>
      <c r="G453" s="1" t="s">
        <v>47</v>
      </c>
      <c r="H453" s="1" t="s">
        <v>48</v>
      </c>
      <c r="I453" s="1">
        <v>41.879384000000002</v>
      </c>
      <c r="J453" s="1">
        <v>-87.640146999999999</v>
      </c>
      <c r="K453" s="1">
        <v>41.882542999999998</v>
      </c>
      <c r="L453" s="1">
        <v>-87.640934000000001</v>
      </c>
      <c r="M453" s="1" t="s">
        <v>17</v>
      </c>
      <c r="N453" s="5">
        <f t="shared" si="21"/>
        <v>3.0439814872806892E-3</v>
      </c>
      <c r="O453" s="1">
        <f t="shared" si="22"/>
        <v>4</v>
      </c>
      <c r="P453" s="1" t="str">
        <f t="shared" si="23"/>
        <v>Wed</v>
      </c>
    </row>
    <row r="454" spans="1:16" x14ac:dyDescent="0.25">
      <c r="A454" s="1" t="s">
        <v>490</v>
      </c>
      <c r="B454" s="1" t="s">
        <v>14</v>
      </c>
      <c r="C454" s="2">
        <v>45262.244432870371</v>
      </c>
      <c r="D454" s="2">
        <v>45262.249606481484</v>
      </c>
      <c r="E454" s="1" t="s">
        <v>30</v>
      </c>
      <c r="F454" s="1">
        <v>13137</v>
      </c>
      <c r="G454" s="1" t="s">
        <v>66</v>
      </c>
      <c r="H454" s="1">
        <v>13042</v>
      </c>
      <c r="I454" s="1">
        <v>41.937657999999999</v>
      </c>
      <c r="J454" s="1">
        <v>-87.644255999999999</v>
      </c>
      <c r="K454" s="1">
        <v>41.901269999999997</v>
      </c>
      <c r="L454" s="1">
        <v>-87.624038999999996</v>
      </c>
      <c r="M454" s="1" t="s">
        <v>17</v>
      </c>
      <c r="N454" s="5">
        <f t="shared" si="21"/>
        <v>5.173611112695653E-3</v>
      </c>
      <c r="O454" s="1">
        <f t="shared" si="22"/>
        <v>7</v>
      </c>
      <c r="P454" s="1" t="str">
        <f t="shared" si="23"/>
        <v>Sat</v>
      </c>
    </row>
    <row r="455" spans="1:16" x14ac:dyDescent="0.25">
      <c r="A455" s="1" t="s">
        <v>491</v>
      </c>
      <c r="B455" s="1" t="s">
        <v>37</v>
      </c>
      <c r="C455" s="2">
        <v>45263.12568287037</v>
      </c>
      <c r="D455" s="2">
        <v>45263.154560185183</v>
      </c>
      <c r="E455" s="1" t="s">
        <v>21</v>
      </c>
      <c r="F455" s="1">
        <v>21213</v>
      </c>
      <c r="G455" s="1" t="s">
        <v>15</v>
      </c>
      <c r="H455" s="1">
        <v>13008</v>
      </c>
      <c r="I455" s="1">
        <v>41.835168000000003</v>
      </c>
      <c r="J455" s="1">
        <v>-87.625961000000004</v>
      </c>
      <c r="K455" s="1">
        <v>41.880633000000003</v>
      </c>
      <c r="L455" s="1">
        <v>-87.624098000000004</v>
      </c>
      <c r="M455" s="1" t="s">
        <v>17</v>
      </c>
      <c r="N455" s="5">
        <f t="shared" si="21"/>
        <v>2.8877314813144039E-2</v>
      </c>
      <c r="O455" s="1">
        <f t="shared" si="22"/>
        <v>1</v>
      </c>
      <c r="P455" s="1" t="str">
        <f t="shared" si="23"/>
        <v>Sun</v>
      </c>
    </row>
    <row r="456" spans="1:16" x14ac:dyDescent="0.25">
      <c r="A456" s="1" t="s">
        <v>492</v>
      </c>
      <c r="B456" s="1" t="s">
        <v>37</v>
      </c>
      <c r="C456" s="2">
        <v>45263.623819444445</v>
      </c>
      <c r="D456" s="2">
        <v>45263.629074074073</v>
      </c>
      <c r="E456" s="1" t="s">
        <v>16</v>
      </c>
      <c r="F456" s="1">
        <v>13045</v>
      </c>
      <c r="G456" s="1" t="s">
        <v>30</v>
      </c>
      <c r="H456" s="1">
        <v>13137</v>
      </c>
      <c r="I456" s="1">
        <v>41.893811999999997</v>
      </c>
      <c r="J456" s="1">
        <v>-87.629379999999998</v>
      </c>
      <c r="K456" s="1">
        <v>41.937981000000001</v>
      </c>
      <c r="L456" s="1">
        <v>-87.643636000000001</v>
      </c>
      <c r="M456" s="1" t="s">
        <v>17</v>
      </c>
      <c r="N456" s="5">
        <f t="shared" si="21"/>
        <v>5.2546296283253469E-3</v>
      </c>
      <c r="O456" s="1">
        <f t="shared" si="22"/>
        <v>1</v>
      </c>
      <c r="P456" s="1" t="str">
        <f t="shared" si="23"/>
        <v>Sun</v>
      </c>
    </row>
    <row r="457" spans="1:16" x14ac:dyDescent="0.25">
      <c r="A457" s="1" t="s">
        <v>493</v>
      </c>
      <c r="B457" s="1" t="s">
        <v>14</v>
      </c>
      <c r="C457" s="2">
        <v>45264.102546296293</v>
      </c>
      <c r="D457" s="2">
        <v>45264.106631944444</v>
      </c>
      <c r="E457" s="1" t="s">
        <v>19</v>
      </c>
      <c r="F457" s="1" t="s">
        <v>20</v>
      </c>
      <c r="G457" s="1" t="s">
        <v>19</v>
      </c>
      <c r="H457" s="1" t="s">
        <v>20</v>
      </c>
      <c r="I457" s="1">
        <v>41.926774000000002</v>
      </c>
      <c r="J457" s="1">
        <v>-87.630831999999998</v>
      </c>
      <c r="K457" s="1">
        <v>41.926372000000001</v>
      </c>
      <c r="L457" s="1">
        <v>-87.631266999999994</v>
      </c>
      <c r="M457" s="1" t="s">
        <v>17</v>
      </c>
      <c r="N457" s="5">
        <f t="shared" si="21"/>
        <v>4.0856481500668451E-3</v>
      </c>
      <c r="O457" s="1">
        <f t="shared" si="22"/>
        <v>2</v>
      </c>
      <c r="P457" s="1" t="str">
        <f t="shared" si="23"/>
        <v>Mon</v>
      </c>
    </row>
    <row r="458" spans="1:16" x14ac:dyDescent="0.25">
      <c r="A458" s="1" t="s">
        <v>494</v>
      </c>
      <c r="B458" s="1" t="s">
        <v>14</v>
      </c>
      <c r="C458" s="2">
        <v>45264.776597222219</v>
      </c>
      <c r="D458" s="2">
        <v>45264.785069444442</v>
      </c>
      <c r="E458" s="1" t="s">
        <v>30</v>
      </c>
      <c r="F458" s="1">
        <v>13137</v>
      </c>
      <c r="G458" s="1" t="s">
        <v>16</v>
      </c>
      <c r="H458" s="1">
        <v>13045</v>
      </c>
      <c r="I458" s="1">
        <v>41.937595999999999</v>
      </c>
      <c r="J458" s="1">
        <v>-87.644345000000001</v>
      </c>
      <c r="K458" s="1">
        <v>41.894480000000001</v>
      </c>
      <c r="L458" s="1">
        <v>-87.629526999999996</v>
      </c>
      <c r="M458" s="1" t="s">
        <v>17</v>
      </c>
      <c r="N458" s="5">
        <f t="shared" si="21"/>
        <v>8.4722222236450762E-3</v>
      </c>
      <c r="O458" s="1">
        <f t="shared" si="22"/>
        <v>2</v>
      </c>
      <c r="P458" s="1" t="str">
        <f t="shared" si="23"/>
        <v>Mon</v>
      </c>
    </row>
    <row r="459" spans="1:16" x14ac:dyDescent="0.25">
      <c r="A459" s="1" t="s">
        <v>495</v>
      </c>
      <c r="B459" s="1" t="s">
        <v>14</v>
      </c>
      <c r="C459" s="2">
        <v>45264.903865740744</v>
      </c>
      <c r="D459" s="2">
        <v>45264.915439814817</v>
      </c>
      <c r="E459" s="1" t="s">
        <v>15</v>
      </c>
      <c r="F459" s="1">
        <v>13008</v>
      </c>
      <c r="G459" s="1" t="s">
        <v>35</v>
      </c>
      <c r="H459" s="1">
        <v>13022</v>
      </c>
      <c r="I459" s="1">
        <v>41.881025999999999</v>
      </c>
      <c r="J459" s="1">
        <v>-87.624404999999996</v>
      </c>
      <c r="K459" s="1">
        <v>41.892144000000002</v>
      </c>
      <c r="L459" s="1">
        <v>-87.611799000000005</v>
      </c>
      <c r="M459" s="1" t="s">
        <v>17</v>
      </c>
      <c r="N459" s="5">
        <f t="shared" si="21"/>
        <v>1.1574074072996154E-2</v>
      </c>
      <c r="O459" s="1">
        <f t="shared" si="22"/>
        <v>2</v>
      </c>
      <c r="P459" s="1" t="str">
        <f t="shared" si="23"/>
        <v>Mon</v>
      </c>
    </row>
    <row r="460" spans="1:16" x14ac:dyDescent="0.25">
      <c r="A460" s="1" t="s">
        <v>496</v>
      </c>
      <c r="B460" s="1" t="s">
        <v>37</v>
      </c>
      <c r="C460" s="2">
        <v>45265.261921296296</v>
      </c>
      <c r="D460" s="2">
        <v>45265.283993055556</v>
      </c>
      <c r="E460" s="1" t="s">
        <v>19</v>
      </c>
      <c r="F460" s="1" t="s">
        <v>20</v>
      </c>
      <c r="G460" s="1" t="s">
        <v>23</v>
      </c>
      <c r="H460" s="1">
        <v>13011</v>
      </c>
      <c r="I460" s="1">
        <v>41.926248000000001</v>
      </c>
      <c r="J460" s="1">
        <v>-87.630354999999994</v>
      </c>
      <c r="K460" s="1">
        <v>41.879389000000003</v>
      </c>
      <c r="L460" s="1">
        <v>-87.640277999999995</v>
      </c>
      <c r="M460" s="1" t="s">
        <v>31</v>
      </c>
      <c r="N460" s="5">
        <f t="shared" si="21"/>
        <v>2.2071759260143153E-2</v>
      </c>
      <c r="O460" s="1">
        <f t="shared" si="22"/>
        <v>3</v>
      </c>
      <c r="P460" s="1" t="str">
        <f t="shared" si="23"/>
        <v>Tue</v>
      </c>
    </row>
    <row r="461" spans="1:16" x14ac:dyDescent="0.25">
      <c r="A461" s="1" t="s">
        <v>497</v>
      </c>
      <c r="B461" s="1" t="s">
        <v>14</v>
      </c>
      <c r="C461" s="2">
        <v>45265.46671296296</v>
      </c>
      <c r="D461" s="2">
        <v>45265.491770833331</v>
      </c>
      <c r="E461" s="1" t="s">
        <v>30</v>
      </c>
      <c r="F461" s="1">
        <v>13137</v>
      </c>
      <c r="G461" s="1" t="s">
        <v>30</v>
      </c>
      <c r="H461" s="1">
        <v>13137</v>
      </c>
      <c r="I461" s="1">
        <v>41.937882000000002</v>
      </c>
      <c r="J461" s="1">
        <v>-87.644045000000006</v>
      </c>
      <c r="K461" s="1">
        <v>41.937479000000003</v>
      </c>
      <c r="L461" s="1">
        <v>-87.644465999999994</v>
      </c>
      <c r="M461" s="1" t="s">
        <v>31</v>
      </c>
      <c r="N461" s="5">
        <f t="shared" si="21"/>
        <v>2.5057870370801538E-2</v>
      </c>
      <c r="O461" s="1">
        <f t="shared" si="22"/>
        <v>3</v>
      </c>
      <c r="P461" s="1" t="str">
        <f t="shared" si="23"/>
        <v>Tue</v>
      </c>
    </row>
    <row r="462" spans="1:16" x14ac:dyDescent="0.25">
      <c r="A462" s="1" t="s">
        <v>498</v>
      </c>
      <c r="B462" s="1" t="s">
        <v>37</v>
      </c>
      <c r="C462" s="2">
        <v>45266.41988425926</v>
      </c>
      <c r="D462" s="2">
        <v>45266.42832175926</v>
      </c>
      <c r="E462" s="1" t="s">
        <v>24</v>
      </c>
      <c r="F462" s="1">
        <v>13263</v>
      </c>
      <c r="G462" s="1" t="s">
        <v>24</v>
      </c>
      <c r="H462" s="1">
        <v>13263</v>
      </c>
      <c r="I462" s="1">
        <v>41.884829000000003</v>
      </c>
      <c r="J462" s="1">
        <v>-87.619680000000002</v>
      </c>
      <c r="K462" s="1">
        <v>41.885145000000001</v>
      </c>
      <c r="L462" s="1">
        <v>-87.619613999999999</v>
      </c>
      <c r="M462" s="1" t="s">
        <v>17</v>
      </c>
      <c r="N462" s="5">
        <f t="shared" si="21"/>
        <v>8.4375000005820766E-3</v>
      </c>
      <c r="O462" s="1">
        <f t="shared" si="22"/>
        <v>4</v>
      </c>
      <c r="P462" s="1" t="str">
        <f t="shared" si="23"/>
        <v>Wed</v>
      </c>
    </row>
    <row r="463" spans="1:16" x14ac:dyDescent="0.25">
      <c r="A463" s="1" t="s">
        <v>499</v>
      </c>
      <c r="B463" s="1" t="s">
        <v>14</v>
      </c>
      <c r="C463" s="2">
        <v>45267.348460648151</v>
      </c>
      <c r="D463" s="2">
        <v>45267.352731481478</v>
      </c>
      <c r="E463" s="1" t="s">
        <v>33</v>
      </c>
      <c r="F463" s="1" t="s">
        <v>34</v>
      </c>
      <c r="G463" s="1" t="s">
        <v>66</v>
      </c>
      <c r="H463" s="1">
        <v>13042</v>
      </c>
      <c r="I463" s="1">
        <v>41.887127</v>
      </c>
      <c r="J463" s="1">
        <v>-87.612768000000003</v>
      </c>
      <c r="K463" s="1">
        <v>41.900522000000002</v>
      </c>
      <c r="L463" s="1">
        <v>-87.623763999999994</v>
      </c>
      <c r="M463" s="1" t="s">
        <v>17</v>
      </c>
      <c r="N463" s="5">
        <f t="shared" si="21"/>
        <v>4.27083332760958E-3</v>
      </c>
      <c r="O463" s="1">
        <f t="shared" si="22"/>
        <v>5</v>
      </c>
      <c r="P463" s="1" t="str">
        <f t="shared" si="23"/>
        <v>Thu</v>
      </c>
    </row>
    <row r="464" spans="1:16" x14ac:dyDescent="0.25">
      <c r="A464" s="1" t="s">
        <v>500</v>
      </c>
      <c r="B464" s="1" t="s">
        <v>14</v>
      </c>
      <c r="C464" s="2">
        <v>45268.545034722221</v>
      </c>
      <c r="D464" s="2">
        <v>45268.547974537039</v>
      </c>
      <c r="E464" s="1" t="s">
        <v>19</v>
      </c>
      <c r="F464" s="1" t="s">
        <v>20</v>
      </c>
      <c r="G464" s="1" t="s">
        <v>41</v>
      </c>
      <c r="H464" s="1" t="s">
        <v>42</v>
      </c>
      <c r="I464" s="1">
        <v>41.926299</v>
      </c>
      <c r="J464" s="1">
        <v>-87.630564000000007</v>
      </c>
      <c r="K464" s="1">
        <v>41.902689000000002</v>
      </c>
      <c r="L464" s="1">
        <v>-87.631157000000002</v>
      </c>
      <c r="M464" s="1" t="s">
        <v>17</v>
      </c>
      <c r="N464" s="5">
        <f t="shared" si="21"/>
        <v>2.9398148180916905E-3</v>
      </c>
      <c r="O464" s="1">
        <f t="shared" si="22"/>
        <v>6</v>
      </c>
      <c r="P464" s="1" t="str">
        <f t="shared" si="23"/>
        <v>Fri</v>
      </c>
    </row>
    <row r="465" spans="1:16" x14ac:dyDescent="0.25">
      <c r="A465" s="1" t="s">
        <v>501</v>
      </c>
      <c r="B465" s="1" t="s">
        <v>37</v>
      </c>
      <c r="C465" s="2">
        <v>45268.990011574075</v>
      </c>
      <c r="D465" s="2">
        <v>45268.994756944441</v>
      </c>
      <c r="E465" s="1" t="s">
        <v>19</v>
      </c>
      <c r="F465" s="1" t="s">
        <v>20</v>
      </c>
      <c r="G465" s="1" t="s">
        <v>19</v>
      </c>
      <c r="H465" s="1" t="s">
        <v>20</v>
      </c>
      <c r="I465" s="1">
        <v>41.92606</v>
      </c>
      <c r="J465" s="1">
        <v>-87.630915000000002</v>
      </c>
      <c r="K465" s="1">
        <v>41.926070000000003</v>
      </c>
      <c r="L465" s="1">
        <v>-87.631001999999995</v>
      </c>
      <c r="M465" s="1" t="s">
        <v>31</v>
      </c>
      <c r="N465" s="5">
        <f t="shared" si="21"/>
        <v>4.7453703664359637E-3</v>
      </c>
      <c r="O465" s="1">
        <f t="shared" si="22"/>
        <v>6</v>
      </c>
      <c r="P465" s="1" t="str">
        <f t="shared" si="23"/>
        <v>Fri</v>
      </c>
    </row>
    <row r="466" spans="1:16" x14ac:dyDescent="0.25">
      <c r="A466" s="3" t="s">
        <v>502</v>
      </c>
      <c r="B466" s="1" t="s">
        <v>14</v>
      </c>
      <c r="C466" s="2">
        <v>45269.664236111108</v>
      </c>
      <c r="D466" s="2">
        <v>45269.66746527778</v>
      </c>
      <c r="E466" s="1" t="s">
        <v>35</v>
      </c>
      <c r="F466" s="1">
        <v>13022</v>
      </c>
      <c r="G466" s="1" t="s">
        <v>33</v>
      </c>
      <c r="H466" s="1" t="s">
        <v>34</v>
      </c>
      <c r="I466" s="1">
        <v>41.891879000000003</v>
      </c>
      <c r="J466" s="1">
        <v>-87.61215</v>
      </c>
      <c r="K466" s="1">
        <v>41.887093</v>
      </c>
      <c r="L466" s="1">
        <v>-87.612452000000005</v>
      </c>
      <c r="M466" s="1" t="s">
        <v>17</v>
      </c>
      <c r="N466" s="5">
        <f t="shared" si="21"/>
        <v>3.2291666720993817E-3</v>
      </c>
      <c r="O466" s="1">
        <f t="shared" si="22"/>
        <v>7</v>
      </c>
      <c r="P466" s="1" t="str">
        <f t="shared" si="23"/>
        <v>Sat</v>
      </c>
    </row>
    <row r="467" spans="1:16" x14ac:dyDescent="0.25">
      <c r="A467" s="1" t="s">
        <v>503</v>
      </c>
      <c r="B467" s="1" t="s">
        <v>14</v>
      </c>
      <c r="C467" s="2">
        <v>45269.990300925929</v>
      </c>
      <c r="D467" s="2">
        <v>45270.000381944446</v>
      </c>
      <c r="E467" s="1" t="s">
        <v>47</v>
      </c>
      <c r="F467" s="1" t="s">
        <v>48</v>
      </c>
      <c r="G467" s="1" t="s">
        <v>47</v>
      </c>
      <c r="H467" s="1" t="s">
        <v>48</v>
      </c>
      <c r="I467" s="1">
        <v>41.881799999999998</v>
      </c>
      <c r="J467" s="1">
        <v>-87.641223999999994</v>
      </c>
      <c r="K467" s="1">
        <v>41.882012000000003</v>
      </c>
      <c r="L467" s="1">
        <v>-87.640600000000006</v>
      </c>
      <c r="M467" s="1" t="s">
        <v>31</v>
      </c>
      <c r="N467" s="5">
        <f t="shared" si="21"/>
        <v>1.0081018517666962E-2</v>
      </c>
      <c r="O467" s="1">
        <f t="shared" si="22"/>
        <v>7</v>
      </c>
      <c r="P467" s="1" t="str">
        <f t="shared" si="23"/>
        <v>Sat</v>
      </c>
    </row>
    <row r="468" spans="1:16" x14ac:dyDescent="0.25">
      <c r="A468" s="1" t="s">
        <v>504</v>
      </c>
      <c r="B468" s="1" t="s">
        <v>37</v>
      </c>
      <c r="C468" s="2">
        <v>45270.164398148147</v>
      </c>
      <c r="D468" s="2">
        <v>45270.174386574072</v>
      </c>
      <c r="E468" s="1" t="s">
        <v>30</v>
      </c>
      <c r="F468" s="1">
        <v>13137</v>
      </c>
      <c r="G468" s="1" t="s">
        <v>33</v>
      </c>
      <c r="H468" s="1" t="s">
        <v>34</v>
      </c>
      <c r="I468" s="1">
        <v>41.937818999999998</v>
      </c>
      <c r="J468" s="1">
        <v>-87.643623000000005</v>
      </c>
      <c r="K468" s="1">
        <v>41.886527999999998</v>
      </c>
      <c r="L468" s="1">
        <v>-87.612630999999993</v>
      </c>
      <c r="M468" s="1" t="s">
        <v>31</v>
      </c>
      <c r="N468" s="5">
        <f t="shared" si="21"/>
        <v>9.9884259252576157E-3</v>
      </c>
      <c r="O468" s="1">
        <f t="shared" si="22"/>
        <v>1</v>
      </c>
      <c r="P468" s="1" t="str">
        <f t="shared" si="23"/>
        <v>Sun</v>
      </c>
    </row>
    <row r="469" spans="1:16" x14ac:dyDescent="0.25">
      <c r="A469" s="1" t="s">
        <v>505</v>
      </c>
      <c r="B469" s="1" t="s">
        <v>14</v>
      </c>
      <c r="C469" s="2">
        <v>45270.492303240739</v>
      </c>
      <c r="D469" s="2">
        <v>45270.503796296296</v>
      </c>
      <c r="E469" s="1" t="s">
        <v>30</v>
      </c>
      <c r="F469" s="1">
        <v>13137</v>
      </c>
      <c r="G469" s="1" t="s">
        <v>21</v>
      </c>
      <c r="H469" s="1">
        <v>21213</v>
      </c>
      <c r="I469" s="1">
        <v>41.937721000000003</v>
      </c>
      <c r="J469" s="1">
        <v>-87.644457000000003</v>
      </c>
      <c r="K469" s="1">
        <v>41.835155</v>
      </c>
      <c r="L469" s="1">
        <v>-87.626219000000006</v>
      </c>
      <c r="M469" s="1" t="s">
        <v>17</v>
      </c>
      <c r="N469" s="5">
        <f t="shared" si="21"/>
        <v>1.1493055557366461E-2</v>
      </c>
      <c r="O469" s="1">
        <f t="shared" si="22"/>
        <v>1</v>
      </c>
      <c r="P469" s="1" t="str">
        <f t="shared" si="23"/>
        <v>Sun</v>
      </c>
    </row>
    <row r="470" spans="1:16" x14ac:dyDescent="0.25">
      <c r="A470" s="1" t="s">
        <v>506</v>
      </c>
      <c r="B470" s="1" t="s">
        <v>14</v>
      </c>
      <c r="C470" s="2">
        <v>45273.317094907405</v>
      </c>
      <c r="D470" s="2">
        <v>45273.346215277779</v>
      </c>
      <c r="E470" s="1" t="s">
        <v>35</v>
      </c>
      <c r="F470" s="1">
        <v>13022</v>
      </c>
      <c r="G470" s="1" t="s">
        <v>16</v>
      </c>
      <c r="H470" s="1">
        <v>13045</v>
      </c>
      <c r="I470" s="1">
        <v>41.891916999999999</v>
      </c>
      <c r="J470" s="1">
        <v>-87.612022999999994</v>
      </c>
      <c r="K470" s="1">
        <v>41.893529000000001</v>
      </c>
      <c r="L470" s="1">
        <v>-87.629737000000006</v>
      </c>
      <c r="M470" s="1" t="s">
        <v>31</v>
      </c>
      <c r="N470" s="5">
        <f t="shared" si="21"/>
        <v>2.9120370374585036E-2</v>
      </c>
      <c r="O470" s="1">
        <f t="shared" si="22"/>
        <v>4</v>
      </c>
      <c r="P470" s="1" t="str">
        <f t="shared" si="23"/>
        <v>Wed</v>
      </c>
    </row>
    <row r="471" spans="1:16" x14ac:dyDescent="0.25">
      <c r="A471" s="1" t="s">
        <v>507</v>
      </c>
      <c r="B471" s="1" t="s">
        <v>37</v>
      </c>
      <c r="C471" s="2">
        <v>45274.465231481481</v>
      </c>
      <c r="D471" s="2">
        <v>45274.477592592593</v>
      </c>
      <c r="E471" s="1" t="s">
        <v>43</v>
      </c>
      <c r="F471" s="1" t="s">
        <v>44</v>
      </c>
      <c r="G471" s="1" t="s">
        <v>19</v>
      </c>
      <c r="H471" s="1" t="s">
        <v>20</v>
      </c>
      <c r="I471" s="1">
        <v>41.903157999999998</v>
      </c>
      <c r="J471" s="1">
        <v>-87.634022000000002</v>
      </c>
      <c r="K471" s="1">
        <v>41.926755</v>
      </c>
      <c r="L471" s="1">
        <v>-87.630778000000007</v>
      </c>
      <c r="M471" s="1" t="s">
        <v>31</v>
      </c>
      <c r="N471" s="5">
        <f t="shared" si="21"/>
        <v>1.2361111112113576E-2</v>
      </c>
      <c r="O471" s="1">
        <f t="shared" si="22"/>
        <v>5</v>
      </c>
      <c r="P471" s="1" t="str">
        <f t="shared" si="23"/>
        <v>Thu</v>
      </c>
    </row>
    <row r="472" spans="1:16" x14ac:dyDescent="0.25">
      <c r="A472" s="1" t="s">
        <v>508</v>
      </c>
      <c r="B472" s="1" t="s">
        <v>37</v>
      </c>
      <c r="C472" s="2">
        <v>45275.20453703704</v>
      </c>
      <c r="D472" s="2">
        <v>45275.209699074076</v>
      </c>
      <c r="E472" s="1" t="s">
        <v>24</v>
      </c>
      <c r="F472" s="1">
        <v>13263</v>
      </c>
      <c r="G472" s="1" t="s">
        <v>24</v>
      </c>
      <c r="H472" s="1">
        <v>13263</v>
      </c>
      <c r="I472" s="1">
        <v>41.884580999999997</v>
      </c>
      <c r="J472" s="1">
        <v>-87.619715999999997</v>
      </c>
      <c r="K472" s="1">
        <v>41.884393000000003</v>
      </c>
      <c r="L472" s="1">
        <v>-87.619487000000007</v>
      </c>
      <c r="M472" s="1" t="s">
        <v>17</v>
      </c>
      <c r="N472" s="5">
        <f t="shared" si="21"/>
        <v>5.1620370359160006E-3</v>
      </c>
      <c r="O472" s="1">
        <f t="shared" si="22"/>
        <v>6</v>
      </c>
      <c r="P472" s="1" t="str">
        <f t="shared" si="23"/>
        <v>Fri</v>
      </c>
    </row>
    <row r="473" spans="1:16" x14ac:dyDescent="0.25">
      <c r="A473" s="1" t="s">
        <v>509</v>
      </c>
      <c r="B473" s="1" t="s">
        <v>14</v>
      </c>
      <c r="C473" s="2">
        <v>45280.157789351855</v>
      </c>
      <c r="D473" s="2">
        <v>45280.162291666667</v>
      </c>
      <c r="E473" s="1" t="s">
        <v>23</v>
      </c>
      <c r="F473" s="1">
        <v>13011</v>
      </c>
      <c r="G473" s="1" t="s">
        <v>24</v>
      </c>
      <c r="H473" s="1">
        <v>13263</v>
      </c>
      <c r="I473" s="1">
        <v>41.879109999999997</v>
      </c>
      <c r="J473" s="1">
        <v>-87.640002999999993</v>
      </c>
      <c r="K473" s="1">
        <v>41.884343000000001</v>
      </c>
      <c r="L473" s="1">
        <v>-87.619138000000007</v>
      </c>
      <c r="M473" s="1" t="s">
        <v>17</v>
      </c>
      <c r="N473" s="5">
        <f t="shared" si="21"/>
        <v>4.5023148122709244E-3</v>
      </c>
      <c r="O473" s="1">
        <f t="shared" si="22"/>
        <v>4</v>
      </c>
      <c r="P473" s="1" t="str">
        <f t="shared" si="23"/>
        <v>Wed</v>
      </c>
    </row>
    <row r="474" spans="1:16" x14ac:dyDescent="0.25">
      <c r="A474" s="1" t="s">
        <v>510</v>
      </c>
      <c r="B474" s="1" t="s">
        <v>37</v>
      </c>
      <c r="C474" s="2">
        <v>45280.468368055554</v>
      </c>
      <c r="D474" s="2">
        <v>45280.47855324074</v>
      </c>
      <c r="E474" s="1" t="s">
        <v>27</v>
      </c>
      <c r="F474" s="1" t="s">
        <v>28</v>
      </c>
      <c r="G474" s="1" t="s">
        <v>27</v>
      </c>
      <c r="H474" s="1" t="s">
        <v>28</v>
      </c>
      <c r="I474" s="1">
        <v>41.889567</v>
      </c>
      <c r="J474" s="1">
        <v>-87.638993999999997</v>
      </c>
      <c r="K474" s="1">
        <v>41.889046999999998</v>
      </c>
      <c r="L474" s="1">
        <v>-87.638979000000006</v>
      </c>
      <c r="M474" s="1" t="s">
        <v>17</v>
      </c>
      <c r="N474" s="5">
        <f t="shared" si="21"/>
        <v>1.0185185186855961E-2</v>
      </c>
      <c r="O474" s="1">
        <f t="shared" si="22"/>
        <v>4</v>
      </c>
      <c r="P474" s="1" t="str">
        <f t="shared" si="23"/>
        <v>Wed</v>
      </c>
    </row>
    <row r="475" spans="1:16" x14ac:dyDescent="0.25">
      <c r="A475" s="1" t="s">
        <v>511</v>
      </c>
      <c r="B475" s="1" t="s">
        <v>37</v>
      </c>
      <c r="C475" s="2">
        <v>45281.509884259256</v>
      </c>
      <c r="D475" s="2">
        <v>45281.514282407406</v>
      </c>
      <c r="E475" s="1" t="s">
        <v>19</v>
      </c>
      <c r="F475" s="1" t="s">
        <v>20</v>
      </c>
      <c r="G475" s="1" t="s">
        <v>21</v>
      </c>
      <c r="H475" s="1">
        <v>21213</v>
      </c>
      <c r="I475" s="1">
        <v>41.926473000000001</v>
      </c>
      <c r="J475" s="1">
        <v>-87.630390000000006</v>
      </c>
      <c r="K475" s="1">
        <v>41.835230000000003</v>
      </c>
      <c r="L475" s="1">
        <v>-87.625862999999995</v>
      </c>
      <c r="M475" s="1" t="s">
        <v>17</v>
      </c>
      <c r="N475" s="5">
        <f t="shared" si="21"/>
        <v>4.3981481503578834E-3</v>
      </c>
      <c r="O475" s="1">
        <f t="shared" si="22"/>
        <v>5</v>
      </c>
      <c r="P475" s="1" t="str">
        <f t="shared" si="23"/>
        <v>Thu</v>
      </c>
    </row>
    <row r="476" spans="1:16" x14ac:dyDescent="0.25">
      <c r="A476" s="1" t="s">
        <v>512</v>
      </c>
      <c r="B476" s="1" t="s">
        <v>37</v>
      </c>
      <c r="C476" s="2">
        <v>45281.868009259262</v>
      </c>
      <c r="D476" s="2">
        <v>45281.883298611108</v>
      </c>
      <c r="E476" s="1" t="s">
        <v>15</v>
      </c>
      <c r="F476" s="1">
        <v>13008</v>
      </c>
      <c r="G476" s="1" t="s">
        <v>15</v>
      </c>
      <c r="H476" s="1">
        <v>13008</v>
      </c>
      <c r="I476" s="1">
        <v>41.881397999999997</v>
      </c>
      <c r="J476" s="1">
        <v>-87.624139999999997</v>
      </c>
      <c r="K476" s="1">
        <v>41.880668999999997</v>
      </c>
      <c r="L476" s="1">
        <v>-87.623722000000001</v>
      </c>
      <c r="M476" s="1" t="s">
        <v>17</v>
      </c>
      <c r="N476" s="5">
        <f t="shared" si="21"/>
        <v>1.5289351846149657E-2</v>
      </c>
      <c r="O476" s="1">
        <f t="shared" si="22"/>
        <v>5</v>
      </c>
      <c r="P476" s="1" t="str">
        <f t="shared" si="23"/>
        <v>Thu</v>
      </c>
    </row>
    <row r="477" spans="1:16" x14ac:dyDescent="0.25">
      <c r="A477" s="1" t="s">
        <v>513</v>
      </c>
      <c r="B477" s="1" t="s">
        <v>37</v>
      </c>
      <c r="C477" s="2">
        <v>45282.200266203705</v>
      </c>
      <c r="D477" s="2">
        <v>45282.203599537039</v>
      </c>
      <c r="E477" s="1" t="s">
        <v>15</v>
      </c>
      <c r="F477" s="1">
        <v>13008</v>
      </c>
      <c r="G477" s="1" t="s">
        <v>47</v>
      </c>
      <c r="H477" s="1" t="s">
        <v>48</v>
      </c>
      <c r="I477" s="1">
        <v>41.880786000000001</v>
      </c>
      <c r="J477" s="1">
        <v>-87.623942</v>
      </c>
      <c r="K477" s="1">
        <v>41.882018000000002</v>
      </c>
      <c r="L477" s="1">
        <v>-87.641070999999997</v>
      </c>
      <c r="M477" s="1" t="s">
        <v>17</v>
      </c>
      <c r="N477" s="5">
        <f t="shared" si="21"/>
        <v>3.3333333340124227E-3</v>
      </c>
      <c r="O477" s="1">
        <f t="shared" si="22"/>
        <v>6</v>
      </c>
      <c r="P477" s="1" t="str">
        <f t="shared" si="23"/>
        <v>Fri</v>
      </c>
    </row>
    <row r="478" spans="1:16" x14ac:dyDescent="0.25">
      <c r="A478" s="1" t="s">
        <v>514</v>
      </c>
      <c r="B478" s="1" t="s">
        <v>37</v>
      </c>
      <c r="C478" s="2">
        <v>45283.706099537034</v>
      </c>
      <c r="D478" s="2">
        <v>45283.738194444442</v>
      </c>
      <c r="E478" s="1" t="s">
        <v>43</v>
      </c>
      <c r="F478" s="1" t="s">
        <v>44</v>
      </c>
      <c r="G478" s="1" t="s">
        <v>21</v>
      </c>
      <c r="H478" s="1">
        <v>21213</v>
      </c>
      <c r="I478" s="1">
        <v>41.903722000000002</v>
      </c>
      <c r="J478" s="1">
        <v>-87.634417999999997</v>
      </c>
      <c r="K478" s="1">
        <v>41.834454000000001</v>
      </c>
      <c r="L478" s="1">
        <v>-87.625551000000002</v>
      </c>
      <c r="M478" s="1" t="s">
        <v>31</v>
      </c>
      <c r="N478" s="5">
        <f t="shared" si="21"/>
        <v>3.2094907408463769E-2</v>
      </c>
      <c r="O478" s="1">
        <f t="shared" si="22"/>
        <v>7</v>
      </c>
      <c r="P478" s="1" t="str">
        <f t="shared" si="23"/>
        <v>Sat</v>
      </c>
    </row>
    <row r="479" spans="1:16" x14ac:dyDescent="0.25">
      <c r="A479" s="1" t="s">
        <v>515</v>
      </c>
      <c r="B479" s="1" t="s">
        <v>14</v>
      </c>
      <c r="C479" s="2">
        <v>45284.059803240743</v>
      </c>
      <c r="D479" s="2">
        <v>45284.079398148147</v>
      </c>
      <c r="E479" s="1" t="s">
        <v>21</v>
      </c>
      <c r="F479" s="1">
        <v>21213</v>
      </c>
      <c r="G479" s="1" t="s">
        <v>57</v>
      </c>
      <c r="H479" s="1" t="s">
        <v>58</v>
      </c>
      <c r="I479" s="1">
        <v>41.834975</v>
      </c>
      <c r="J479" s="1">
        <v>-87.625484999999998</v>
      </c>
      <c r="K479" s="1">
        <v>41.912601000000002</v>
      </c>
      <c r="L479" s="1">
        <v>-87.634265999999997</v>
      </c>
      <c r="M479" s="1" t="s">
        <v>31</v>
      </c>
      <c r="N479" s="5">
        <f t="shared" si="21"/>
        <v>1.9594907404098194E-2</v>
      </c>
      <c r="O479" s="1">
        <f t="shared" si="22"/>
        <v>1</v>
      </c>
      <c r="P479" s="1" t="str">
        <f t="shared" si="23"/>
        <v>Sun</v>
      </c>
    </row>
    <row r="480" spans="1:16" x14ac:dyDescent="0.25">
      <c r="A480" s="1" t="s">
        <v>516</v>
      </c>
      <c r="B480" s="1" t="s">
        <v>14</v>
      </c>
      <c r="C480" s="2">
        <v>45284.19222222222</v>
      </c>
      <c r="D480" s="2">
        <v>45284.196666666663</v>
      </c>
      <c r="E480" s="1" t="s">
        <v>57</v>
      </c>
      <c r="F480" s="1" t="s">
        <v>58</v>
      </c>
      <c r="G480" s="1" t="s">
        <v>19</v>
      </c>
      <c r="H480" s="1" t="s">
        <v>20</v>
      </c>
      <c r="I480" s="1">
        <v>41.912478999999998</v>
      </c>
      <c r="J480" s="1">
        <v>-87.634463999999994</v>
      </c>
      <c r="K480" s="1">
        <v>41.926206999999998</v>
      </c>
      <c r="L480" s="1">
        <v>-87.630661000000003</v>
      </c>
      <c r="M480" s="1" t="s">
        <v>17</v>
      </c>
      <c r="N480" s="5">
        <f t="shared" si="21"/>
        <v>4.4444444429245777E-3</v>
      </c>
      <c r="O480" s="1">
        <f t="shared" si="22"/>
        <v>1</v>
      </c>
      <c r="P480" s="1" t="str">
        <f t="shared" si="23"/>
        <v>Sun</v>
      </c>
    </row>
    <row r="481" spans="1:16" x14ac:dyDescent="0.25">
      <c r="A481" s="1" t="s">
        <v>517</v>
      </c>
      <c r="B481" s="1" t="s">
        <v>14</v>
      </c>
      <c r="C481" s="2">
        <v>45285.096226851849</v>
      </c>
      <c r="D481" s="2">
        <v>45285.105405092596</v>
      </c>
      <c r="E481" s="1" t="s">
        <v>23</v>
      </c>
      <c r="F481" s="1">
        <v>13011</v>
      </c>
      <c r="G481" s="1" t="s">
        <v>33</v>
      </c>
      <c r="H481" s="1" t="s">
        <v>34</v>
      </c>
      <c r="I481" s="1">
        <v>41.878760999999997</v>
      </c>
      <c r="J481" s="1">
        <v>-87.640303000000003</v>
      </c>
      <c r="K481" s="1">
        <v>41.887345000000003</v>
      </c>
      <c r="L481" s="1">
        <v>-87.612630999999993</v>
      </c>
      <c r="M481" s="1" t="s">
        <v>17</v>
      </c>
      <c r="N481" s="5">
        <f t="shared" si="21"/>
        <v>9.1782407471328042E-3</v>
      </c>
      <c r="O481" s="1">
        <f t="shared" si="22"/>
        <v>2</v>
      </c>
      <c r="P481" s="1" t="str">
        <f t="shared" si="23"/>
        <v>Mon</v>
      </c>
    </row>
    <row r="482" spans="1:16" x14ac:dyDescent="0.25">
      <c r="A482" s="1" t="s">
        <v>518</v>
      </c>
      <c r="B482" s="1" t="s">
        <v>14</v>
      </c>
      <c r="C482" s="2">
        <v>45285.164861111109</v>
      </c>
      <c r="D482" s="2">
        <v>45285.185081018521</v>
      </c>
      <c r="E482" s="1" t="s">
        <v>35</v>
      </c>
      <c r="F482" s="1">
        <v>13022</v>
      </c>
      <c r="G482" s="1" t="s">
        <v>19</v>
      </c>
      <c r="H482" s="1" t="s">
        <v>20</v>
      </c>
      <c r="I482" s="1">
        <v>41.89188</v>
      </c>
      <c r="J482" s="1">
        <v>-87.611632</v>
      </c>
      <c r="K482" s="1">
        <v>41.926597999999998</v>
      </c>
      <c r="L482" s="1">
        <v>-87.630573999999996</v>
      </c>
      <c r="M482" s="1" t="s">
        <v>17</v>
      </c>
      <c r="N482" s="5">
        <f t="shared" si="21"/>
        <v>2.0219907411956228E-2</v>
      </c>
      <c r="O482" s="1">
        <f t="shared" si="22"/>
        <v>2</v>
      </c>
      <c r="P482" s="1" t="str">
        <f t="shared" si="23"/>
        <v>Mon</v>
      </c>
    </row>
    <row r="483" spans="1:16" x14ac:dyDescent="0.25">
      <c r="A483" s="1" t="s">
        <v>519</v>
      </c>
      <c r="B483" s="1" t="s">
        <v>37</v>
      </c>
      <c r="C483" s="2">
        <v>45285.174317129633</v>
      </c>
      <c r="D483" s="2">
        <v>45285.177233796298</v>
      </c>
      <c r="E483" s="1" t="s">
        <v>30</v>
      </c>
      <c r="F483" s="1">
        <v>13137</v>
      </c>
      <c r="G483" s="1" t="s">
        <v>23</v>
      </c>
      <c r="H483" s="1">
        <v>13011</v>
      </c>
      <c r="I483" s="1">
        <v>41.937944999999999</v>
      </c>
      <c r="J483" s="1">
        <v>-87.644197000000005</v>
      </c>
      <c r="K483" s="1">
        <v>41.879047999999997</v>
      </c>
      <c r="L483" s="1">
        <v>-87.640252000000004</v>
      </c>
      <c r="M483" s="1" t="s">
        <v>17</v>
      </c>
      <c r="N483" s="5">
        <f t="shared" si="21"/>
        <v>2.9166666645323858E-3</v>
      </c>
      <c r="O483" s="1">
        <f t="shared" si="22"/>
        <v>2</v>
      </c>
      <c r="P483" s="1" t="str">
        <f t="shared" si="23"/>
        <v>Mon</v>
      </c>
    </row>
    <row r="484" spans="1:16" x14ac:dyDescent="0.25">
      <c r="A484" s="1" t="s">
        <v>520</v>
      </c>
      <c r="B484" s="1" t="s">
        <v>37</v>
      </c>
      <c r="C484" s="2">
        <v>45285.789594907408</v>
      </c>
      <c r="D484" s="2">
        <v>45285.797569444447</v>
      </c>
      <c r="E484" s="1" t="s">
        <v>23</v>
      </c>
      <c r="F484" s="1">
        <v>13011</v>
      </c>
      <c r="G484" s="1" t="s">
        <v>15</v>
      </c>
      <c r="H484" s="1">
        <v>13008</v>
      </c>
      <c r="I484" s="1">
        <v>41.879159999999999</v>
      </c>
      <c r="J484" s="1">
        <v>-87.640400999999997</v>
      </c>
      <c r="K484" s="1">
        <v>41.881382000000002</v>
      </c>
      <c r="L484" s="1">
        <v>-87.624202999999994</v>
      </c>
      <c r="M484" s="1" t="s">
        <v>17</v>
      </c>
      <c r="N484" s="5">
        <f t="shared" si="21"/>
        <v>7.9745370385353453E-3</v>
      </c>
      <c r="O484" s="1">
        <f t="shared" si="22"/>
        <v>2</v>
      </c>
      <c r="P484" s="1" t="str">
        <f t="shared" si="23"/>
        <v>Mon</v>
      </c>
    </row>
    <row r="485" spans="1:16" x14ac:dyDescent="0.25">
      <c r="A485" s="1" t="s">
        <v>521</v>
      </c>
      <c r="B485" s="1" t="s">
        <v>37</v>
      </c>
      <c r="C485" s="2">
        <v>45285.884814814817</v>
      </c>
      <c r="D485" s="2">
        <v>45285.897604166668</v>
      </c>
      <c r="E485" s="1" t="s">
        <v>16</v>
      </c>
      <c r="F485" s="1">
        <v>13045</v>
      </c>
      <c r="G485" s="1" t="s">
        <v>66</v>
      </c>
      <c r="H485" s="1">
        <v>13042</v>
      </c>
      <c r="I485" s="1">
        <v>41.893523000000002</v>
      </c>
      <c r="J485" s="1">
        <v>-87.629182</v>
      </c>
      <c r="K485" s="1">
        <v>41.900773999999998</v>
      </c>
      <c r="L485" s="1">
        <v>-87.623767999999998</v>
      </c>
      <c r="M485" s="1" t="s">
        <v>17</v>
      </c>
      <c r="N485" s="5">
        <f t="shared" si="21"/>
        <v>1.2789351851097308E-2</v>
      </c>
      <c r="O485" s="1">
        <f t="shared" si="22"/>
        <v>2</v>
      </c>
      <c r="P485" s="1" t="str">
        <f t="shared" si="23"/>
        <v>Mon</v>
      </c>
    </row>
    <row r="486" spans="1:16" x14ac:dyDescent="0.25">
      <c r="A486" s="1" t="s">
        <v>522</v>
      </c>
      <c r="B486" s="1" t="s">
        <v>14</v>
      </c>
      <c r="C486" s="2">
        <v>45285.888298611113</v>
      </c>
      <c r="D486" s="2">
        <v>45285.897847222222</v>
      </c>
      <c r="E486" s="1" t="s">
        <v>33</v>
      </c>
      <c r="F486" s="1" t="s">
        <v>34</v>
      </c>
      <c r="G486" s="1" t="s">
        <v>57</v>
      </c>
      <c r="H486" s="1" t="s">
        <v>58</v>
      </c>
      <c r="I486" s="1">
        <v>41.887455000000003</v>
      </c>
      <c r="J486" s="1">
        <v>-87.612472999999994</v>
      </c>
      <c r="K486" s="1">
        <v>41.912500000000001</v>
      </c>
      <c r="L486" s="1">
        <v>-87.634748000000002</v>
      </c>
      <c r="M486" s="1" t="s">
        <v>31</v>
      </c>
      <c r="N486" s="5">
        <f t="shared" si="21"/>
        <v>9.5486111094942316E-3</v>
      </c>
      <c r="O486" s="1">
        <f t="shared" si="22"/>
        <v>2</v>
      </c>
      <c r="P486" s="1" t="str">
        <f t="shared" si="23"/>
        <v>Mon</v>
      </c>
    </row>
    <row r="487" spans="1:16" x14ac:dyDescent="0.25">
      <c r="A487" s="1" t="s">
        <v>523</v>
      </c>
      <c r="B487" s="1" t="s">
        <v>14</v>
      </c>
      <c r="C487" s="2">
        <v>45288.104594907411</v>
      </c>
      <c r="D487" s="2">
        <v>45288.10765046296</v>
      </c>
      <c r="E487" s="1" t="s">
        <v>33</v>
      </c>
      <c r="F487" s="1" t="s">
        <v>34</v>
      </c>
      <c r="G487" s="1" t="s">
        <v>23</v>
      </c>
      <c r="H487" s="1">
        <v>13011</v>
      </c>
      <c r="I487" s="1">
        <v>41.887079999999997</v>
      </c>
      <c r="J487" s="1">
        <v>-87.612405999999993</v>
      </c>
      <c r="K487" s="1">
        <v>41.878993999999999</v>
      </c>
      <c r="L487" s="1">
        <v>-87.639933999999997</v>
      </c>
      <c r="M487" s="1" t="s">
        <v>17</v>
      </c>
      <c r="N487" s="5">
        <f t="shared" si="21"/>
        <v>3.0555555495084263E-3</v>
      </c>
      <c r="O487" s="1">
        <f t="shared" si="22"/>
        <v>5</v>
      </c>
      <c r="P487" s="1" t="str">
        <f t="shared" si="23"/>
        <v>Thu</v>
      </c>
    </row>
    <row r="488" spans="1:16" x14ac:dyDescent="0.25">
      <c r="A488" s="1" t="s">
        <v>524</v>
      </c>
      <c r="B488" s="1" t="s">
        <v>37</v>
      </c>
      <c r="C488" s="2">
        <v>45288.303946759261</v>
      </c>
      <c r="D488" s="2">
        <v>45288.309421296297</v>
      </c>
      <c r="E488" s="1" t="s">
        <v>47</v>
      </c>
      <c r="F488" s="1" t="s">
        <v>48</v>
      </c>
      <c r="G488" s="1" t="s">
        <v>15</v>
      </c>
      <c r="H488" s="1">
        <v>13008</v>
      </c>
      <c r="I488" s="1">
        <v>41.882443000000002</v>
      </c>
      <c r="J488" s="1">
        <v>-87.641452999999998</v>
      </c>
      <c r="K488" s="1">
        <v>41.881529</v>
      </c>
      <c r="L488" s="1">
        <v>-87.624401000000006</v>
      </c>
      <c r="M488" s="1" t="s">
        <v>17</v>
      </c>
      <c r="N488" s="5">
        <f t="shared" si="21"/>
        <v>5.4745370362070389E-3</v>
      </c>
      <c r="O488" s="1">
        <f t="shared" si="22"/>
        <v>5</v>
      </c>
      <c r="P488" s="1" t="str">
        <f t="shared" si="23"/>
        <v>Thu</v>
      </c>
    </row>
    <row r="489" spans="1:16" x14ac:dyDescent="0.25">
      <c r="A489" s="1" t="s">
        <v>525</v>
      </c>
      <c r="B489" s="1" t="s">
        <v>14</v>
      </c>
      <c r="C489" s="2">
        <v>45288.350972222222</v>
      </c>
      <c r="D489" s="2">
        <v>45288.366759259261</v>
      </c>
      <c r="E489" s="1" t="s">
        <v>66</v>
      </c>
      <c r="F489" s="1">
        <v>13042</v>
      </c>
      <c r="G489" s="1" t="s">
        <v>66</v>
      </c>
      <c r="H489" s="1">
        <v>13042</v>
      </c>
      <c r="I489" s="1">
        <v>41.901271000000001</v>
      </c>
      <c r="J489" s="1">
        <v>-87.623641000000006</v>
      </c>
      <c r="K489" s="1">
        <v>41.900848000000003</v>
      </c>
      <c r="L489" s="1">
        <v>-87.623603000000003</v>
      </c>
      <c r="M489" s="1" t="s">
        <v>17</v>
      </c>
      <c r="N489" s="5">
        <f t="shared" si="21"/>
        <v>1.5787037038535345E-2</v>
      </c>
      <c r="O489" s="1">
        <f t="shared" si="22"/>
        <v>5</v>
      </c>
      <c r="P489" s="1" t="str">
        <f t="shared" si="23"/>
        <v>Thu</v>
      </c>
    </row>
    <row r="490" spans="1:16" x14ac:dyDescent="0.25">
      <c r="A490" s="1" t="s">
        <v>526</v>
      </c>
      <c r="B490" s="1" t="s">
        <v>14</v>
      </c>
      <c r="C490" s="2">
        <v>45288.551134259258</v>
      </c>
      <c r="D490" s="2">
        <v>45288.556550925925</v>
      </c>
      <c r="E490" s="1" t="s">
        <v>41</v>
      </c>
      <c r="F490" s="1" t="s">
        <v>42</v>
      </c>
      <c r="G490" s="1" t="s">
        <v>19</v>
      </c>
      <c r="H490" s="1" t="s">
        <v>20</v>
      </c>
      <c r="I490" s="1">
        <v>41.903025999999997</v>
      </c>
      <c r="J490" s="1">
        <v>-87.631276999999997</v>
      </c>
      <c r="K490" s="1">
        <v>41.925970999999997</v>
      </c>
      <c r="L490" s="1">
        <v>-87.630475000000004</v>
      </c>
      <c r="M490" s="1" t="s">
        <v>17</v>
      </c>
      <c r="N490" s="5">
        <f t="shared" si="21"/>
        <v>5.4166666668606922E-3</v>
      </c>
      <c r="O490" s="1">
        <f t="shared" si="22"/>
        <v>5</v>
      </c>
      <c r="P490" s="1" t="str">
        <f t="shared" si="23"/>
        <v>Thu</v>
      </c>
    </row>
    <row r="491" spans="1:16" x14ac:dyDescent="0.25">
      <c r="A491" s="1" t="s">
        <v>527</v>
      </c>
      <c r="B491" s="1" t="s">
        <v>37</v>
      </c>
      <c r="C491" s="2">
        <v>45289.173090277778</v>
      </c>
      <c r="D491" s="2">
        <v>45289.190254629626</v>
      </c>
      <c r="E491" s="1" t="s">
        <v>41</v>
      </c>
      <c r="F491" s="1" t="s">
        <v>42</v>
      </c>
      <c r="G491" s="1" t="s">
        <v>15</v>
      </c>
      <c r="H491" s="1">
        <v>13008</v>
      </c>
      <c r="I491" s="1">
        <v>41.902571999999999</v>
      </c>
      <c r="J491" s="1">
        <v>-87.631378999999995</v>
      </c>
      <c r="K491" s="1">
        <v>41.881332</v>
      </c>
      <c r="L491" s="1">
        <v>-87.624380000000002</v>
      </c>
      <c r="M491" s="1" t="s">
        <v>17</v>
      </c>
      <c r="N491" s="5">
        <f t="shared" si="21"/>
        <v>1.7164351847895887E-2</v>
      </c>
      <c r="O491" s="1">
        <f t="shared" si="22"/>
        <v>6</v>
      </c>
      <c r="P491" s="1" t="str">
        <f t="shared" si="23"/>
        <v>Fri</v>
      </c>
    </row>
    <row r="492" spans="1:16" x14ac:dyDescent="0.25">
      <c r="A492" s="1" t="s">
        <v>528</v>
      </c>
      <c r="B492" s="1" t="s">
        <v>14</v>
      </c>
      <c r="C492" s="2">
        <v>45289.469317129631</v>
      </c>
      <c r="D492" s="2">
        <v>45289.476331018515</v>
      </c>
      <c r="E492" s="1" t="s">
        <v>19</v>
      </c>
      <c r="F492" s="1" t="s">
        <v>20</v>
      </c>
      <c r="G492" s="1" t="s">
        <v>33</v>
      </c>
      <c r="H492" s="1" t="s">
        <v>34</v>
      </c>
      <c r="I492" s="1">
        <v>41.926509000000003</v>
      </c>
      <c r="J492" s="1">
        <v>-87.630786000000001</v>
      </c>
      <c r="K492" s="1">
        <v>41.886603999999998</v>
      </c>
      <c r="L492" s="1">
        <v>-87.612431000000001</v>
      </c>
      <c r="M492" s="1" t="s">
        <v>17</v>
      </c>
      <c r="N492" s="5">
        <f t="shared" si="21"/>
        <v>7.0138888841029257E-3</v>
      </c>
      <c r="O492" s="1">
        <f t="shared" si="22"/>
        <v>6</v>
      </c>
      <c r="P492" s="1" t="str">
        <f t="shared" si="23"/>
        <v>Fri</v>
      </c>
    </row>
    <row r="493" spans="1:16" x14ac:dyDescent="0.25">
      <c r="A493" s="1" t="s">
        <v>529</v>
      </c>
      <c r="B493" s="1" t="s">
        <v>37</v>
      </c>
      <c r="C493" s="2">
        <v>45289.598379629628</v>
      </c>
      <c r="D493" s="2">
        <v>45289.605740740742</v>
      </c>
      <c r="E493" s="1" t="s">
        <v>35</v>
      </c>
      <c r="F493" s="1">
        <v>13022</v>
      </c>
      <c r="G493" s="1" t="s">
        <v>30</v>
      </c>
      <c r="H493" s="1">
        <v>13137</v>
      </c>
      <c r="I493" s="1">
        <v>41.892310000000002</v>
      </c>
      <c r="J493" s="1">
        <v>-87.611662999999993</v>
      </c>
      <c r="K493" s="1">
        <v>41.937657000000002</v>
      </c>
      <c r="L493" s="1">
        <v>-87.644568000000007</v>
      </c>
      <c r="M493" s="1" t="s">
        <v>17</v>
      </c>
      <c r="N493" s="5">
        <f t="shared" si="21"/>
        <v>7.3611111147329211E-3</v>
      </c>
      <c r="O493" s="1">
        <f t="shared" si="22"/>
        <v>6</v>
      </c>
      <c r="P493" s="1" t="str">
        <f t="shared" si="23"/>
        <v>Fri</v>
      </c>
    </row>
    <row r="494" spans="1:16" x14ac:dyDescent="0.25">
      <c r="A494" s="1" t="s">
        <v>530</v>
      </c>
      <c r="B494" s="1" t="s">
        <v>14</v>
      </c>
      <c r="C494" s="2">
        <v>45289.901990740742</v>
      </c>
      <c r="D494" s="2">
        <v>45289.91269675926</v>
      </c>
      <c r="E494" s="1" t="s">
        <v>47</v>
      </c>
      <c r="F494" s="1" t="s">
        <v>48</v>
      </c>
      <c r="G494" s="1" t="s">
        <v>30</v>
      </c>
      <c r="H494" s="1">
        <v>13137</v>
      </c>
      <c r="I494" s="1">
        <v>41.882179000000001</v>
      </c>
      <c r="J494" s="1">
        <v>-87.640649999999994</v>
      </c>
      <c r="K494" s="1">
        <v>41.937804</v>
      </c>
      <c r="L494" s="1">
        <v>-87.643987999999993</v>
      </c>
      <c r="M494" s="1" t="s">
        <v>17</v>
      </c>
      <c r="N494" s="5">
        <f t="shared" si="21"/>
        <v>1.0706018518249039E-2</v>
      </c>
      <c r="O494" s="1">
        <f t="shared" si="22"/>
        <v>6</v>
      </c>
      <c r="P494" s="1" t="str">
        <f t="shared" si="23"/>
        <v>Fri</v>
      </c>
    </row>
    <row r="495" spans="1:16" x14ac:dyDescent="0.25">
      <c r="A495" s="1" t="s">
        <v>531</v>
      </c>
      <c r="B495" s="1" t="s">
        <v>26</v>
      </c>
      <c r="C495" s="2">
        <v>45290.556203703702</v>
      </c>
      <c r="D495" s="2">
        <v>45290.578645833331</v>
      </c>
      <c r="E495" s="1" t="s">
        <v>19</v>
      </c>
      <c r="F495" s="1" t="s">
        <v>20</v>
      </c>
      <c r="G495" s="1" t="s">
        <v>30</v>
      </c>
      <c r="H495" s="1">
        <v>13137</v>
      </c>
      <c r="I495" s="1">
        <v>41.926532000000002</v>
      </c>
      <c r="J495" s="1">
        <v>-87.631206000000006</v>
      </c>
      <c r="K495" s="1">
        <v>41.937908</v>
      </c>
      <c r="L495" s="1">
        <v>-87.643816000000001</v>
      </c>
      <c r="M495" s="1" t="s">
        <v>31</v>
      </c>
      <c r="N495" s="5">
        <f t="shared" si="21"/>
        <v>2.2442129629780538E-2</v>
      </c>
      <c r="O495" s="1">
        <f t="shared" si="22"/>
        <v>7</v>
      </c>
      <c r="P495" s="1" t="str">
        <f t="shared" si="23"/>
        <v>Sat</v>
      </c>
    </row>
    <row r="496" spans="1:16" x14ac:dyDescent="0.25">
      <c r="A496" s="1" t="s">
        <v>532</v>
      </c>
      <c r="B496" s="1" t="s">
        <v>37</v>
      </c>
      <c r="C496" s="2">
        <v>45290.650231481479</v>
      </c>
      <c r="D496" s="2">
        <v>45290.655335648145</v>
      </c>
      <c r="E496" s="1" t="s">
        <v>66</v>
      </c>
      <c r="F496" s="1">
        <v>13042</v>
      </c>
      <c r="G496" s="1" t="s">
        <v>24</v>
      </c>
      <c r="H496" s="1">
        <v>13263</v>
      </c>
      <c r="I496" s="1">
        <v>41.900633999999997</v>
      </c>
      <c r="J496" s="1">
        <v>-87.623564999999999</v>
      </c>
      <c r="K496" s="1">
        <v>41.885053999999997</v>
      </c>
      <c r="L496" s="1">
        <v>-87.619919999999993</v>
      </c>
      <c r="M496" s="1" t="s">
        <v>17</v>
      </c>
      <c r="N496" s="5">
        <f t="shared" si="21"/>
        <v>5.1041666665696539E-3</v>
      </c>
      <c r="O496" s="1">
        <f t="shared" si="22"/>
        <v>7</v>
      </c>
      <c r="P496" s="1" t="str">
        <f t="shared" si="23"/>
        <v>Sat</v>
      </c>
    </row>
    <row r="497" spans="1:16" x14ac:dyDescent="0.25">
      <c r="A497" s="1" t="s">
        <v>533</v>
      </c>
      <c r="B497" s="1" t="s">
        <v>37</v>
      </c>
      <c r="C497" s="2">
        <v>45290.863078703704</v>
      </c>
      <c r="D497" s="2">
        <v>45290.868217592593</v>
      </c>
      <c r="E497" s="1" t="s">
        <v>57</v>
      </c>
      <c r="F497" s="1" t="s">
        <v>58</v>
      </c>
      <c r="G497" s="1" t="s">
        <v>57</v>
      </c>
      <c r="H497" s="1" t="s">
        <v>58</v>
      </c>
      <c r="I497" s="1">
        <v>41.911667000000001</v>
      </c>
      <c r="J497" s="1">
        <v>-87.634844999999999</v>
      </c>
      <c r="K497" s="1">
        <v>41.912413000000001</v>
      </c>
      <c r="L497" s="1">
        <v>-87.634878</v>
      </c>
      <c r="M497" s="1" t="s">
        <v>17</v>
      </c>
      <c r="N497" s="5">
        <f t="shared" si="21"/>
        <v>5.1388888896326534E-3</v>
      </c>
      <c r="O497" s="1">
        <f t="shared" si="22"/>
        <v>7</v>
      </c>
      <c r="P497" s="1" t="str">
        <f t="shared" si="23"/>
        <v>Sat</v>
      </c>
    </row>
    <row r="498" spans="1:16" x14ac:dyDescent="0.25">
      <c r="A498" s="1" t="s">
        <v>534</v>
      </c>
      <c r="B498" s="1" t="s">
        <v>26</v>
      </c>
      <c r="C498" s="2">
        <v>45290.982094907406</v>
      </c>
      <c r="D498" s="2">
        <v>45290.990543981483</v>
      </c>
      <c r="E498" s="1" t="s">
        <v>57</v>
      </c>
      <c r="F498" s="1" t="s">
        <v>58</v>
      </c>
      <c r="G498" s="1" t="s">
        <v>16</v>
      </c>
      <c r="H498" s="1">
        <v>13045</v>
      </c>
      <c r="I498" s="1">
        <v>41.912356000000003</v>
      </c>
      <c r="J498" s="1">
        <v>-87.635019999999997</v>
      </c>
      <c r="K498" s="1">
        <v>41.894328000000002</v>
      </c>
      <c r="L498" s="1">
        <v>-87.629662999999994</v>
      </c>
      <c r="M498" s="1" t="s">
        <v>17</v>
      </c>
      <c r="N498" s="5">
        <f t="shared" si="21"/>
        <v>8.449074077361729E-3</v>
      </c>
      <c r="O498" s="1">
        <f t="shared" si="22"/>
        <v>7</v>
      </c>
      <c r="P498" s="1" t="str">
        <f t="shared" si="23"/>
        <v>Sat</v>
      </c>
    </row>
    <row r="499" spans="1:16" x14ac:dyDescent="0.25">
      <c r="A499" s="1" t="s">
        <v>535</v>
      </c>
      <c r="B499" s="1" t="s">
        <v>14</v>
      </c>
      <c r="C499" s="2">
        <v>45291.170578703706</v>
      </c>
      <c r="D499" s="2">
        <v>45291.177812499998</v>
      </c>
      <c r="E499" s="1" t="s">
        <v>66</v>
      </c>
      <c r="F499" s="1">
        <v>13042</v>
      </c>
      <c r="G499" s="1" t="s">
        <v>66</v>
      </c>
      <c r="H499" s="1">
        <v>13042</v>
      </c>
      <c r="I499" s="1">
        <v>41.900953000000001</v>
      </c>
      <c r="J499" s="1">
        <v>-87.624266000000006</v>
      </c>
      <c r="K499" s="1">
        <v>41.900928999999998</v>
      </c>
      <c r="L499" s="1">
        <v>-87.624221000000006</v>
      </c>
      <c r="M499" s="1" t="s">
        <v>17</v>
      </c>
      <c r="N499" s="5">
        <f t="shared" si="21"/>
        <v>7.2337962919846177E-3</v>
      </c>
      <c r="O499" s="1">
        <f t="shared" si="22"/>
        <v>1</v>
      </c>
      <c r="P499" s="1" t="str">
        <f t="shared" si="23"/>
        <v>Sun</v>
      </c>
    </row>
    <row r="500" spans="1:16" x14ac:dyDescent="0.25">
      <c r="A500" s="1" t="s">
        <v>536</v>
      </c>
      <c r="B500" s="1" t="s">
        <v>14</v>
      </c>
      <c r="C500" s="2">
        <v>45291.238379629627</v>
      </c>
      <c r="D500" s="2">
        <v>45291.276516203703</v>
      </c>
      <c r="E500" s="1" t="s">
        <v>21</v>
      </c>
      <c r="F500" s="1">
        <v>21213</v>
      </c>
      <c r="G500" s="1" t="s">
        <v>35</v>
      </c>
      <c r="H500" s="1">
        <v>13022</v>
      </c>
      <c r="I500" s="1">
        <v>41.834719</v>
      </c>
      <c r="J500" s="1">
        <v>-87.625800999999996</v>
      </c>
      <c r="K500" s="1">
        <v>41.892519999999998</v>
      </c>
      <c r="L500" s="1">
        <v>-87.611844000000005</v>
      </c>
      <c r="M500" s="1" t="s">
        <v>31</v>
      </c>
      <c r="N500" s="5">
        <f t="shared" si="21"/>
        <v>3.8136574075906537E-2</v>
      </c>
      <c r="O500" s="1">
        <f t="shared" si="22"/>
        <v>1</v>
      </c>
      <c r="P500" s="1" t="str">
        <f t="shared" si="23"/>
        <v>Sun</v>
      </c>
    </row>
    <row r="501" spans="1:16" x14ac:dyDescent="0.25">
      <c r="A501" s="1" t="s">
        <v>537</v>
      </c>
      <c r="B501" s="1" t="s">
        <v>14</v>
      </c>
      <c r="C501" s="2">
        <v>45292.073819444442</v>
      </c>
      <c r="D501" s="2">
        <v>45292.078761574077</v>
      </c>
      <c r="E501" s="1" t="s">
        <v>16</v>
      </c>
      <c r="F501" s="1">
        <v>13045</v>
      </c>
      <c r="G501" s="1" t="s">
        <v>66</v>
      </c>
      <c r="H501" s="1">
        <v>13042</v>
      </c>
      <c r="I501" s="1">
        <v>41.893970000000003</v>
      </c>
      <c r="J501" s="1">
        <v>-87.629232000000002</v>
      </c>
      <c r="K501" s="1">
        <v>41.901001000000001</v>
      </c>
      <c r="L501" s="1">
        <v>-87.624190999999996</v>
      </c>
      <c r="M501" s="1" t="s">
        <v>17</v>
      </c>
      <c r="N501" s="5">
        <f t="shared" si="21"/>
        <v>4.9421296353102662E-3</v>
      </c>
      <c r="O501" s="1">
        <f t="shared" si="22"/>
        <v>2</v>
      </c>
      <c r="P501" s="1" t="str">
        <f t="shared" si="23"/>
        <v>Mon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cyclistic_combined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dhyan chinnappa</dc:creator>
  <cp:lastModifiedBy>dhyan chinnappa</cp:lastModifiedBy>
  <dcterms:created xsi:type="dcterms:W3CDTF">2026-09-17T14:49:53Z</dcterms:created>
  <dcterms:modified xsi:type="dcterms:W3CDTF">2026-09-18T07:41:05Z</dcterms:modified>
</cp:coreProperties>
</file>